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https://d.docs.live.net/41998462a84e2427/Pictures/Documents/"/>
    </mc:Choice>
  </mc:AlternateContent>
  <xr:revisionPtr revIDLastSave="356" documentId="8_{F0644625-FA64-484A-9EF4-7E3201C11A3F}" xr6:coauthVersionLast="47" xr6:coauthVersionMax="47" xr10:uidLastSave="{4282BED6-A7F2-42E6-BFBF-A21857FEC32E}"/>
  <bookViews>
    <workbookView xWindow="-108" yWindow="-108" windowWidth="23256" windowHeight="12456" activeTab="1" xr2:uid="{00000000-000D-0000-FFFF-FFFF00000000}"/>
  </bookViews>
  <sheets>
    <sheet name="Pivot table" sheetId="4" r:id="rId1"/>
    <sheet name="Crime_Dashboard" sheetId="10" r:id="rId2"/>
    <sheet name="Crime_Data" sheetId="1" r:id="rId3"/>
  </sheets>
  <definedNames>
    <definedName name="full">Crime_Dashboard!$A$11</definedName>
    <definedName name="Slicer_Case_Status">#N/A</definedName>
    <definedName name="Slicer_Crime_Type">#N/A</definedName>
    <definedName name="Slicer_Location">#N/A</definedName>
    <definedName name="Slicer_Severity">#N/A</definedName>
    <definedName name="Slicer_Time_Period">#N/A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E28" i="10" l="1"/>
  <c r="G28" i="10"/>
  <c r="AQ28" i="10"/>
  <c r="AD28" i="10"/>
  <c r="R28" i="10"/>
  <c r="G26" i="10"/>
  <c r="J504" i="1"/>
</calcChain>
</file>

<file path=xl/sharedStrings.xml><?xml version="1.0" encoding="utf-8"?>
<sst xmlns="http://schemas.openxmlformats.org/spreadsheetml/2006/main" count="4563" uniqueCount="70">
  <si>
    <t>Timestamp</t>
  </si>
  <si>
    <t>Location</t>
  </si>
  <si>
    <t>Latitude</t>
  </si>
  <si>
    <t>Longitude</t>
  </si>
  <si>
    <t>Police_Station</t>
  </si>
  <si>
    <t>Crime_Type</t>
  </si>
  <si>
    <t>Severity</t>
  </si>
  <si>
    <t>Case_Status</t>
  </si>
  <si>
    <t>Weapon_or_Method</t>
  </si>
  <si>
    <t>Victim_Age</t>
  </si>
  <si>
    <t>Victim_Gender</t>
  </si>
  <si>
    <t>Date</t>
  </si>
  <si>
    <t>Hour</t>
  </si>
  <si>
    <t>Day</t>
  </si>
  <si>
    <t>Time_Period</t>
  </si>
  <si>
    <t>Connaught Place</t>
  </si>
  <si>
    <t>Connaught Place PS</t>
  </si>
  <si>
    <t>Vehicle Theft</t>
  </si>
  <si>
    <t>Medium</t>
  </si>
  <si>
    <t>Open</t>
  </si>
  <si>
    <t>None</t>
  </si>
  <si>
    <t>Female</t>
  </si>
  <si>
    <t>Friday</t>
  </si>
  <si>
    <t>Night</t>
  </si>
  <si>
    <t>AIIMS Crossing</t>
  </si>
  <si>
    <t>Hauz Khas PS</t>
  </si>
  <si>
    <t>Theft</t>
  </si>
  <si>
    <t>Closed</t>
  </si>
  <si>
    <t>Evening</t>
  </si>
  <si>
    <t>Rajiv Chowk Metro Area</t>
  </si>
  <si>
    <t>Assault</t>
  </si>
  <si>
    <t>Critical</t>
  </si>
  <si>
    <t>Investigating</t>
  </si>
  <si>
    <t>Blunt Object</t>
  </si>
  <si>
    <t>Male</t>
  </si>
  <si>
    <t>Drug-related</t>
  </si>
  <si>
    <t>Firearm</t>
  </si>
  <si>
    <t>NH8 (near Airport)</t>
  </si>
  <si>
    <t>IGI Airport PS</t>
  </si>
  <si>
    <t>Other</t>
  </si>
  <si>
    <t>Outer Ring Road (IIT Delhi)</t>
  </si>
  <si>
    <t>Vasant Kunj North PS</t>
  </si>
  <si>
    <t>India Gate Circle</t>
  </si>
  <si>
    <t>Tilak Marg PS</t>
  </si>
  <si>
    <t>Robbery</t>
  </si>
  <si>
    <t>Low</t>
  </si>
  <si>
    <t>DND Flyway</t>
  </si>
  <si>
    <t>Sunlight Colony PS</t>
  </si>
  <si>
    <t>Pickpocketing</t>
  </si>
  <si>
    <t>Unknown</t>
  </si>
  <si>
    <t>High</t>
  </si>
  <si>
    <t>Afternoon</t>
  </si>
  <si>
    <t>Vandalism</t>
  </si>
  <si>
    <t>Burglary</t>
  </si>
  <si>
    <t>Chandni Chowk</t>
  </si>
  <si>
    <t>Kotwali PS</t>
  </si>
  <si>
    <t>Knife</t>
  </si>
  <si>
    <t>Morning</t>
  </si>
  <si>
    <t>Cyber Fraud</t>
  </si>
  <si>
    <t>Thursday</t>
  </si>
  <si>
    <t>Wednesday</t>
  </si>
  <si>
    <t>Under Trial</t>
  </si>
  <si>
    <t>Tuesday</t>
  </si>
  <si>
    <t>Monday</t>
  </si>
  <si>
    <t>Sunday</t>
  </si>
  <si>
    <t>Saturday</t>
  </si>
  <si>
    <t>Row Labels</t>
  </si>
  <si>
    <t>Grand Total</t>
  </si>
  <si>
    <t>Count of Crime_Type</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</si>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</sst>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yyyy\-mm\-dd\ hh:mm:ss"/>
    <numFmt numFmtId="165" formatCode="yyyy\-mm\-dd"/>
  </numFmts>
  <fonts count="9" x14ac:knownFonts="1">
    <font>
      <sz val="11"/>
      <color theme="1"/>
      <name val="Calibri"/>
      <family val="2"/>
      <scheme val="minor"/>
    </font>
    <font>
      <b/>
      <sz val="11"/>
      <name val="Calibri"/>
      <family val="2"/>
    </font>
    <font>
      <sz val="11"/>
      <color theme="0"/>
      <name val="Calibri"/>
      <family val="2"/>
      <scheme val="minor"/>
    </font>
    <font>
      <sz val="11"/>
      <name val="Calibri"/>
      <family val="2"/>
      <scheme val="minor"/>
    </font>
    <font>
      <sz val="11"/>
      <color rgb="FF434343"/>
      <name val="Calibri"/>
      <family val="2"/>
    </font>
    <font>
      <sz val="11"/>
      <name val="Calibri"/>
      <family val="2"/>
    </font>
    <font>
      <b/>
      <sz val="11"/>
      <color theme="1"/>
      <name val="Calibri"/>
      <family val="2"/>
      <scheme val="minor"/>
    </font>
    <font>
      <sz val="28"/>
      <name val="Calibri"/>
      <family val="2"/>
      <scheme val="minor"/>
    </font>
    <font>
      <sz val="72"/>
      <color theme="1"/>
      <name val="Calibri"/>
      <family val="2"/>
      <scheme val="minor"/>
    </font>
  </fonts>
  <fills count="6">
    <fill>
      <patternFill patternType="none"/>
    </fill>
    <fill>
      <patternFill patternType="gray125"/>
    </fill>
    <fill>
      <patternFill patternType="solid">
        <fgColor theme="0"/>
        <bgColor indexed="64"/>
      </patternFill>
    </fill>
    <fill>
      <patternFill patternType="solid">
        <fgColor rgb="FFB8CCE4"/>
        <bgColor indexed="64"/>
      </patternFill>
    </fill>
    <fill>
      <patternFill patternType="solid">
        <fgColor rgb="FFDBE5F1"/>
        <bgColor indexed="64"/>
      </patternFill>
    </fill>
    <fill>
      <patternFill patternType="solid">
        <fgColor theme="8"/>
        <bgColor indexed="64"/>
      </patternFill>
    </fill>
  </fills>
  <borders count="11">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bottom/>
      <diagonal/>
    </border>
    <border>
      <left style="thin">
        <color auto="1"/>
      </left>
      <right style="thin">
        <color auto="1"/>
      </right>
      <top/>
      <bottom/>
      <diagonal/>
    </border>
  </borders>
  <cellStyleXfs count="1">
    <xf numFmtId="0" fontId="0" fillId="0" borderId="0"/>
  </cellStyleXfs>
  <cellXfs count="33">
    <xf numFmtId="0" fontId="0" fillId="0" borderId="0" xfId="0"/>
    <xf numFmtId="0" fontId="0" fillId="0" borderId="1" xfId="0" applyBorder="1"/>
    <xf numFmtId="165" fontId="0" fillId="0" borderId="1" xfId="0" applyNumberFormat="1" applyBorder="1"/>
    <xf numFmtId="0" fontId="0" fillId="0" borderId="3" xfId="0" applyBorder="1"/>
    <xf numFmtId="0" fontId="1" fillId="0" borderId="4" xfId="0" applyFont="1" applyBorder="1" applyAlignment="1">
      <alignment horizontal="center" vertical="top"/>
    </xf>
    <xf numFmtId="0" fontId="1" fillId="0" borderId="5" xfId="0" applyFont="1" applyBorder="1" applyAlignment="1">
      <alignment horizontal="center" vertical="top"/>
    </xf>
    <xf numFmtId="0" fontId="0" fillId="0" borderId="7" xfId="0" applyBorder="1"/>
    <xf numFmtId="165" fontId="0" fillId="0" borderId="7" xfId="0" applyNumberFormat="1" applyBorder="1"/>
    <xf numFmtId="0" fontId="0" fillId="0" borderId="8" xfId="0" applyBorder="1"/>
    <xf numFmtId="0" fontId="0" fillId="0" borderId="0" xfId="0" pivotButton="1"/>
    <xf numFmtId="0" fontId="0" fillId="0" borderId="0" xfId="0" applyAlignment="1">
      <alignment horizontal="left"/>
    </xf>
    <xf numFmtId="165" fontId="0" fillId="0" borderId="0" xfId="0" applyNumberFormat="1" applyAlignment="1">
      <alignment horizontal="left"/>
    </xf>
    <xf numFmtId="0" fontId="3" fillId="2" borderId="0" xfId="0" applyFont="1" applyFill="1"/>
    <xf numFmtId="0" fontId="2" fillId="2" borderId="0" xfId="0" applyFont="1" applyFill="1"/>
    <xf numFmtId="0" fontId="0" fillId="0" borderId="6" xfId="0" applyBorder="1"/>
    <xf numFmtId="0" fontId="0" fillId="0" borderId="2" xfId="0" applyBorder="1"/>
    <xf numFmtId="0" fontId="1" fillId="0" borderId="9" xfId="0" applyFont="1" applyBorder="1" applyAlignment="1">
      <alignment horizontal="center" vertical="top"/>
    </xf>
    <xf numFmtId="0" fontId="1" fillId="0" borderId="10" xfId="0" applyFont="1" applyBorder="1" applyAlignment="1">
      <alignment horizontal="center" vertical="top"/>
    </xf>
    <xf numFmtId="22" fontId="5" fillId="0" borderId="1" xfId="0" applyNumberFormat="1" applyFont="1" applyBorder="1" applyAlignment="1">
      <alignment horizontal="center" vertical="center" wrapText="1"/>
    </xf>
    <xf numFmtId="0" fontId="5" fillId="0" borderId="1" xfId="0" applyFont="1" applyBorder="1" applyAlignment="1">
      <alignment horizontal="center" vertical="center" wrapText="1"/>
    </xf>
    <xf numFmtId="22" fontId="4" fillId="3" borderId="1" xfId="0" applyNumberFormat="1" applyFont="1" applyFill="1" applyBorder="1" applyAlignment="1">
      <alignment horizontal="center" vertical="center" wrapText="1"/>
    </xf>
    <xf numFmtId="0" fontId="4" fillId="3" borderId="1" xfId="0" applyFont="1" applyFill="1" applyBorder="1" applyAlignment="1">
      <alignment horizontal="center" vertical="center" wrapText="1"/>
    </xf>
    <xf numFmtId="22" fontId="4" fillId="4" borderId="1" xfId="0" applyNumberFormat="1" applyFont="1" applyFill="1" applyBorder="1" applyAlignment="1">
      <alignment horizontal="center" vertical="center" wrapText="1"/>
    </xf>
    <xf numFmtId="0" fontId="4" fillId="4" borderId="1" xfId="0" applyFont="1" applyFill="1" applyBorder="1" applyAlignment="1">
      <alignment horizontal="center" vertical="center" wrapText="1"/>
    </xf>
    <xf numFmtId="0" fontId="3" fillId="0" borderId="0" xfId="0" applyFont="1" applyFill="1"/>
    <xf numFmtId="0" fontId="7" fillId="0" borderId="0" xfId="0" applyFont="1" applyFill="1"/>
    <xf numFmtId="0" fontId="3" fillId="0" borderId="0" xfId="0" applyFont="1" applyFill="1" applyAlignment="1">
      <alignment horizontal="center"/>
    </xf>
    <xf numFmtId="0" fontId="0" fillId="2" borderId="0" xfId="0" applyFont="1" applyFill="1"/>
    <xf numFmtId="0" fontId="8" fillId="0" borderId="0" xfId="0" applyFont="1" applyFill="1" applyAlignment="1"/>
    <xf numFmtId="0" fontId="0" fillId="0" borderId="0" xfId="0" applyFont="1" applyFill="1"/>
    <xf numFmtId="0" fontId="6" fillId="2" borderId="0" xfId="0" applyFont="1" applyFill="1"/>
    <xf numFmtId="0" fontId="8" fillId="5" borderId="0" xfId="0" applyFont="1" applyFill="1" applyAlignment="1">
      <alignment horizontal="center"/>
    </xf>
    <xf numFmtId="0" fontId="0" fillId="0" borderId="0" xfId="0" applyNumberFormat="1"/>
  </cellXfs>
  <cellStyles count="1">
    <cellStyle name="Normal" xfId="0" builtinId="0"/>
  </cellStyles>
  <dxfs count="22">
    <dxf>
      <border diagonalUp="0" diagonalDown="0">
        <left style="thin">
          <color auto="1"/>
        </left>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numFmt numFmtId="165" formatCode="yyyy\-mm\-dd"/>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font>
        <strike val="0"/>
        <outline val="0"/>
        <shadow val="0"/>
        <u val="none"/>
        <vertAlign val="baseline"/>
        <sz val="11"/>
        <name val="Calibri"/>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name val="Calibri"/>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font>
        <b/>
        <color theme="1"/>
      </font>
      <border>
        <bottom style="thin">
          <color theme="4"/>
        </bottom>
        <vertical/>
        <horizontal/>
      </border>
    </dxf>
    <dxf>
      <font>
        <sz val="18"/>
        <color theme="1"/>
      </font>
      <border>
        <left style="thin">
          <color theme="4"/>
        </left>
        <right style="thin">
          <color theme="4"/>
        </right>
        <top style="thin">
          <color theme="4"/>
        </top>
        <bottom style="thin">
          <color theme="4"/>
        </bottom>
        <vertical/>
        <horizontal/>
      </border>
    </dxf>
    <dxf>
      <font>
        <color theme="1"/>
      </font>
    </dxf>
  </dxfs>
  <tableStyles count="3" defaultTableStyle="TableStyleMedium9" defaultPivotStyle="PivotStyleLight16">
    <tableStyle name="black" pivot="0" table="0" count="0" xr9:uid="{50C6B245-B079-44B1-A0F5-49F484B3930C}"/>
    <tableStyle name="Slicer Style 1" pivot="0" table="0" count="1" xr9:uid="{7B4DFB36-6B9F-468C-813B-59F57259E5CE}">
      <tableStyleElement type="wholeTable" dxfId="21"/>
    </tableStyle>
    <tableStyle name="SlicerStyleDark1 2" pivot="0" table="0" count="10" xr9:uid="{5E8154CD-7593-41CF-A714-9E1A236BD897}">
      <tableStyleElement type="wholeTable" dxfId="20"/>
      <tableStyleElement type="headerRow" dxfId="19"/>
    </tableStyle>
  </tableStyles>
  <colors>
    <mruColors>
      <color rgb="FFFF99FF"/>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black"/>
        <x14:slicerStyle name="Slicer Style 1"/>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[Crime_Analytics_Synthetic.xlsx]Pivot table!PivotTable2</c:name>
    <c:fmtId val="5"/>
  </c:pivotSource>
  <c:chart>
    <c:title>
      <c:tx>
        <c:rich>
          <a:bodyPr rot="0" spcFirstLastPara="1" vertOverflow="ellipsis" vert="horz" wrap="square" anchor="ctr" anchorCtr="1"/>
          <a:lstStyle/>
          <a:p>
            <a:pPr>
              <a:defRPr lang="en-US" sz="3600" b="0" i="0" u="none" strike="noStrike" kern="1200" spc="0" baseline="0">
                <a:solidFill>
                  <a:schemeClr val="bg1">
                    <a:lumMod val="85000"/>
                  </a:schemeClr>
                </a:solidFill>
                <a:latin typeface="+mn-lt"/>
                <a:ea typeface="+mn-ea"/>
                <a:cs typeface="+mn-cs"/>
              </a:defRPr>
            </a:pPr>
            <a:r>
              <a:rPr lang="en-US" sz="3600">
                <a:solidFill>
                  <a:schemeClr val="bg1">
                    <a:lumMod val="85000"/>
                  </a:schemeClr>
                </a:solidFill>
              </a:rPr>
              <a:t>CRIME TYPE</a:t>
            </a:r>
          </a:p>
          <a:p>
            <a:pPr>
              <a:defRPr sz="3600">
                <a:solidFill>
                  <a:schemeClr val="bg1">
                    <a:lumMod val="85000"/>
                  </a:schemeClr>
                </a:solidFill>
              </a:defRPr>
            </a:pPr>
            <a:endParaRPr lang="en-US" sz="3600">
              <a:solidFill>
                <a:schemeClr val="bg1">
                  <a:lumMod val="85000"/>
                </a:schemeClr>
              </a:solidFill>
            </a:endParaRPr>
          </a:p>
        </c:rich>
      </c:tx>
      <c:layout>
        <c:manualLayout>
          <c:xMode val="edge"/>
          <c:yMode val="edge"/>
          <c:x val="0.43289119539711757"/>
          <c:y val="6.6631035471792293E-4"/>
        </c:manualLayout>
      </c:layout>
      <c:overlay val="0"/>
      <c:spPr>
        <a:noFill/>
        <a:ln>
          <a:noFill/>
        </a:ln>
        <a:effectLst/>
      </c:spPr>
      <c:txPr>
        <a:bodyPr rot="0" spcFirstLastPara="1" vertOverflow="ellipsis" vert="horz" wrap="square" anchor="ctr" anchorCtr="1"/>
        <a:lstStyle/>
        <a:p>
          <a:pPr>
            <a:defRPr lang="en-US" sz="3600" b="0" i="0" u="none" strike="noStrike" kern="1200" spc="0" baseline="0">
              <a:solidFill>
                <a:schemeClr val="bg1">
                  <a:lumMod val="8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c:f>
              <c:strCache>
                <c:ptCount val="1"/>
                <c:pt idx="0">
                  <c:v>Total</c:v>
                </c:pt>
              </c:strCache>
            </c:strRef>
          </c:tx>
          <c:spPr>
            <a:solidFill>
              <a:schemeClr val="accent5">
                <a:lumMod val="40000"/>
                <a:lumOff val="60000"/>
              </a:schemeClr>
            </a:solidFill>
            <a:ln>
              <a:noFill/>
            </a:ln>
            <a:effectLst/>
          </c:spPr>
          <c:invertIfNegative val="0"/>
          <c:cat>
            <c:strRef>
              <c:f>'Pivot table'!$A$4:$A$13</c:f>
              <c:strCache>
                <c:ptCount val="9"/>
                <c:pt idx="0">
                  <c:v>Assault</c:v>
                </c:pt>
                <c:pt idx="1">
                  <c:v>Burglary</c:v>
                </c:pt>
                <c:pt idx="2">
                  <c:v>Cyber Fraud</c:v>
                </c:pt>
                <c:pt idx="3">
                  <c:v>Drug-related</c:v>
                </c:pt>
                <c:pt idx="4">
                  <c:v>Pickpocketing</c:v>
                </c:pt>
                <c:pt idx="5">
                  <c:v>Robbery</c:v>
                </c:pt>
                <c:pt idx="6">
                  <c:v>Theft</c:v>
                </c:pt>
                <c:pt idx="7">
                  <c:v>Vandalism</c:v>
                </c:pt>
                <c:pt idx="8">
                  <c:v>Vehicle Theft</c:v>
                </c:pt>
              </c:strCache>
            </c:strRef>
          </c:cat>
          <c:val>
            <c:numRef>
              <c:f>'Pivot table'!$B$4:$B$13</c:f>
              <c:numCache>
                <c:formatCode>General</c:formatCode>
                <c:ptCount val="9"/>
                <c:pt idx="0">
                  <c:v>56</c:v>
                </c:pt>
                <c:pt idx="1">
                  <c:v>47</c:v>
                </c:pt>
                <c:pt idx="2">
                  <c:v>32</c:v>
                </c:pt>
                <c:pt idx="3">
                  <c:v>26</c:v>
                </c:pt>
                <c:pt idx="4">
                  <c:v>64</c:v>
                </c:pt>
                <c:pt idx="5">
                  <c:v>49</c:v>
                </c:pt>
                <c:pt idx="6">
                  <c:v>101</c:v>
                </c:pt>
                <c:pt idx="7">
                  <c:v>45</c:v>
                </c:pt>
                <c:pt idx="8">
                  <c:v>80</c:v>
                </c:pt>
              </c:numCache>
            </c:numRef>
          </c:val>
          <c:extLst>
            <c:ext xmlns:c16="http://schemas.microsoft.com/office/drawing/2014/chart" uri="{C3380CC4-5D6E-409C-BE32-E72D297353CC}">
              <c16:uniqueId val="{00000000-AD97-4500-AA2C-16C15203C634}"/>
            </c:ext>
          </c:extLst>
        </c:ser>
        <c:dLbls>
          <c:showLegendKey val="0"/>
          <c:showVal val="0"/>
          <c:showCatName val="0"/>
          <c:showSerName val="0"/>
          <c:showPercent val="0"/>
          <c:showBubbleSize val="0"/>
        </c:dLbls>
        <c:gapWidth val="182"/>
        <c:axId val="171958815"/>
        <c:axId val="174373647"/>
      </c:barChart>
      <c:catAx>
        <c:axId val="1719588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800" b="0" i="0" u="none" strike="noStrike" kern="1200" baseline="0">
                <a:solidFill>
                  <a:schemeClr val="bg1">
                    <a:lumMod val="85000"/>
                  </a:schemeClr>
                </a:solidFill>
                <a:latin typeface="+mn-lt"/>
                <a:ea typeface="+mn-ea"/>
                <a:cs typeface="+mn-cs"/>
              </a:defRPr>
            </a:pPr>
            <a:endParaRPr lang="en-US"/>
          </a:p>
        </c:txPr>
        <c:crossAx val="174373647"/>
        <c:crosses val="autoZero"/>
        <c:auto val="1"/>
        <c:lblAlgn val="ctr"/>
        <c:lblOffset val="100"/>
        <c:noMultiLvlLbl val="0"/>
      </c:catAx>
      <c:valAx>
        <c:axId val="1743736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600" b="0" i="0" u="none" strike="noStrike" kern="1200" baseline="0">
                <a:solidFill>
                  <a:schemeClr val="bg1">
                    <a:lumMod val="85000"/>
                  </a:schemeClr>
                </a:solidFill>
                <a:latin typeface="+mn-lt"/>
                <a:ea typeface="+mn-ea"/>
                <a:cs typeface="+mn-cs"/>
              </a:defRPr>
            </a:pPr>
            <a:endParaRPr lang="en-US"/>
          </a:p>
        </c:txPr>
        <c:crossAx val="171958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95000"/>
        <a:lumOff val="5000"/>
      </a:schemeClr>
    </a:solidFill>
    <a:ln w="9525" cap="flat" cmpd="sng" algn="ctr">
      <a:solidFill>
        <a:schemeClr val="accent5">
          <a:lumMod val="40000"/>
          <a:lumOff val="60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3600" b="0" i="0" u="none" strike="noStrike" kern="1200" spc="0" baseline="0">
                <a:solidFill>
                  <a:schemeClr val="bg1">
                    <a:lumMod val="85000"/>
                  </a:schemeClr>
                </a:solidFill>
                <a:latin typeface="+mn-lt"/>
                <a:ea typeface="+mn-ea"/>
                <a:cs typeface="+mn-cs"/>
              </a:defRPr>
            </a:pPr>
            <a:r>
              <a:rPr lang="en-US" sz="3600">
                <a:solidFill>
                  <a:schemeClr val="bg1">
                    <a:lumMod val="85000"/>
                  </a:schemeClr>
                </a:solidFill>
              </a:rPr>
              <a:t>CRIME</a:t>
            </a:r>
            <a:r>
              <a:rPr lang="en-US" sz="3600" baseline="0">
                <a:solidFill>
                  <a:schemeClr val="bg1">
                    <a:lumMod val="85000"/>
                  </a:schemeClr>
                </a:solidFill>
              </a:rPr>
              <a:t> BY LOCATION</a:t>
            </a:r>
          </a:p>
          <a:p>
            <a:pPr>
              <a:defRPr sz="3600">
                <a:solidFill>
                  <a:schemeClr val="bg1">
                    <a:lumMod val="85000"/>
                  </a:schemeClr>
                </a:solidFill>
              </a:defRPr>
            </a:pPr>
            <a:endParaRPr lang="en-US" sz="3600">
              <a:solidFill>
                <a:schemeClr val="bg1">
                  <a:lumMod val="85000"/>
                </a:schemeClr>
              </a:solidFill>
            </a:endParaRPr>
          </a:p>
        </c:rich>
      </c:tx>
      <c:layout>
        <c:manualLayout>
          <c:xMode val="edge"/>
          <c:yMode val="edge"/>
          <c:x val="0.39481233595800524"/>
          <c:y val="7.3053368328958895E-2"/>
        </c:manualLayout>
      </c:layout>
      <c:overlay val="0"/>
      <c:spPr>
        <a:noFill/>
        <a:ln>
          <a:noFill/>
        </a:ln>
        <a:effectLst/>
      </c:spPr>
      <c:txPr>
        <a:bodyPr rot="0" spcFirstLastPara="1" vertOverflow="ellipsis" vert="horz" wrap="square" anchor="ctr" anchorCtr="1"/>
        <a:lstStyle/>
        <a:p>
          <a:pPr>
            <a:defRPr sz="3600" b="0" i="0" u="none" strike="noStrike" kern="1200" spc="0" baseline="0">
              <a:solidFill>
                <a:schemeClr val="bg1">
                  <a:lumMod val="8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4298512601993445"/>
          <c:y val="0.15634389035301458"/>
          <c:w val="0.38634361329833772"/>
          <c:h val="0.6293157626130067"/>
        </c:manualLayout>
      </c:layout>
      <c:barChart>
        <c:barDir val="bar"/>
        <c:grouping val="clustered"/>
        <c:varyColors val="0"/>
        <c:ser>
          <c:idx val="0"/>
          <c:order val="0"/>
          <c:tx>
            <c:v>Total</c:v>
          </c:tx>
          <c:spPr>
            <a:solidFill>
              <a:schemeClr val="tx2">
                <a:lumMod val="40000"/>
                <a:lumOff val="60000"/>
              </a:schemeClr>
            </a:solidFill>
            <a:ln>
              <a:noFill/>
            </a:ln>
            <a:effectLst/>
          </c:spPr>
          <c:invertIfNegative val="0"/>
          <c:cat>
            <c:strLit>
              <c:ptCount val="1"/>
              <c:pt idx="0">
                <c:v>AIIMS Crossing</c:v>
              </c:pt>
            </c:strLit>
          </c:cat>
          <c:val>
            <c:numLit>
              <c:formatCode>General</c:formatCode>
              <c:ptCount val="1"/>
              <c:pt idx="0">
                <c:v>59</c:v>
              </c:pt>
            </c:numLit>
          </c:val>
          <c:extLst>
            <c:ext xmlns:c16="http://schemas.microsoft.com/office/drawing/2014/chart" uri="{C3380CC4-5D6E-409C-BE32-E72D297353CC}">
              <c16:uniqueId val="{00000000-1F8A-4395-B29D-1466EB090E54}"/>
            </c:ext>
          </c:extLst>
        </c:ser>
        <c:dLbls>
          <c:showLegendKey val="0"/>
          <c:showVal val="0"/>
          <c:showCatName val="0"/>
          <c:showSerName val="0"/>
          <c:showPercent val="0"/>
          <c:showBubbleSize val="0"/>
        </c:dLbls>
        <c:gapWidth val="182"/>
        <c:axId val="98125791"/>
        <c:axId val="174269487"/>
      </c:barChart>
      <c:catAx>
        <c:axId val="981257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bg1">
                    <a:lumMod val="85000"/>
                  </a:schemeClr>
                </a:solidFill>
                <a:latin typeface="+mn-lt"/>
                <a:ea typeface="+mn-ea"/>
                <a:cs typeface="+mn-cs"/>
              </a:defRPr>
            </a:pPr>
            <a:endParaRPr lang="en-US"/>
          </a:p>
        </c:txPr>
        <c:crossAx val="174269487"/>
        <c:crosses val="autoZero"/>
        <c:auto val="1"/>
        <c:lblAlgn val="ctr"/>
        <c:lblOffset val="100"/>
        <c:noMultiLvlLbl val="0"/>
      </c:catAx>
      <c:valAx>
        <c:axId val="1742694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bg1">
                    <a:lumMod val="85000"/>
                  </a:schemeClr>
                </a:solidFill>
                <a:latin typeface="+mn-lt"/>
                <a:ea typeface="+mn-ea"/>
                <a:cs typeface="+mn-cs"/>
              </a:defRPr>
            </a:pPr>
            <a:endParaRPr lang="en-US"/>
          </a:p>
        </c:txPr>
        <c:crossAx val="98125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95000"/>
        <a:lumOff val="5000"/>
      </a:schemeClr>
    </a:solidFill>
    <a:ln w="9525" cap="flat" cmpd="sng" algn="ctr">
      <a:solidFill>
        <a:schemeClr val="accent5">
          <a:lumMod val="40000"/>
          <a:lumOff val="60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[Crime_Analytics_Synthetic.xlsx]Pivot table!PivotTable4</c:name>
    <c:fmtId val="3"/>
  </c:pivotSource>
  <c:chart>
    <c:title>
      <c:tx>
        <c:rich>
          <a:bodyPr rot="0" spcFirstLastPara="1" vertOverflow="ellipsis" vert="horz" wrap="square" anchor="ctr" anchorCtr="1"/>
          <a:lstStyle/>
          <a:p>
            <a:pPr>
              <a:defRPr sz="3600" b="0" i="0" u="none" strike="noStrike" kern="1200" spc="0" baseline="0">
                <a:solidFill>
                  <a:schemeClr val="bg1">
                    <a:lumMod val="85000"/>
                  </a:schemeClr>
                </a:solidFill>
                <a:latin typeface="+mn-lt"/>
                <a:ea typeface="+mn-ea"/>
                <a:cs typeface="+mn-cs"/>
              </a:defRPr>
            </a:pPr>
            <a:r>
              <a:rPr lang="en-US" sz="3600">
                <a:solidFill>
                  <a:schemeClr val="bg1">
                    <a:lumMod val="85000"/>
                  </a:schemeClr>
                </a:solidFill>
              </a:rPr>
              <a:t>SEVERITY</a:t>
            </a:r>
          </a:p>
          <a:p>
            <a:pPr>
              <a:defRPr sz="3600">
                <a:solidFill>
                  <a:schemeClr val="bg1">
                    <a:lumMod val="85000"/>
                  </a:schemeClr>
                </a:solidFill>
              </a:defRPr>
            </a:pPr>
            <a:endParaRPr lang="en-US" sz="3600">
              <a:solidFill>
                <a:schemeClr val="bg1">
                  <a:lumMod val="85000"/>
                </a:schemeClr>
              </a:solidFill>
            </a:endParaRPr>
          </a:p>
        </c:rich>
      </c:tx>
      <c:overlay val="0"/>
      <c:spPr>
        <a:noFill/>
        <a:ln>
          <a:noFill/>
        </a:ln>
        <a:effectLst/>
      </c:spPr>
      <c:txPr>
        <a:bodyPr rot="0" spcFirstLastPara="1" vertOverflow="ellipsis" vert="horz" wrap="square" anchor="ctr" anchorCtr="1"/>
        <a:lstStyle/>
        <a:p>
          <a:pPr>
            <a:defRPr sz="3600" b="0" i="0" u="none" strike="noStrike" kern="1200" spc="0" baseline="0">
              <a:solidFill>
                <a:schemeClr val="bg1">
                  <a:lumMod val="8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lumMod val="60000"/>
              <a:lumOff val="40000"/>
            </a:schemeClr>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lumMod val="60000"/>
              <a:lumOff val="40000"/>
            </a:schemeClr>
          </a:solidFill>
          <a:ln w="25400">
            <a:solidFill>
              <a:schemeClr val="lt1"/>
            </a:solidFill>
          </a:ln>
          <a:effectLst/>
          <a:sp3d contourW="25400">
            <a:contourClr>
              <a:schemeClr val="lt1"/>
            </a:contourClr>
          </a:sp3d>
        </c:spPr>
      </c:pivotFmt>
      <c:pivotFmt>
        <c:idx val="8"/>
        <c:spPr>
          <a:solidFill>
            <a:schemeClr val="accent1">
              <a:lumMod val="60000"/>
              <a:lumOff val="40000"/>
            </a:schemeClr>
          </a:solidFill>
          <a:ln w="25400">
            <a:solidFill>
              <a:schemeClr val="lt1"/>
            </a:solidFill>
          </a:ln>
          <a:effectLst/>
          <a:sp3d contourW="25400">
            <a:contourClr>
              <a:schemeClr val="lt1"/>
            </a:contourClr>
          </a:sp3d>
        </c:spPr>
      </c:pivotFmt>
      <c:pivotFmt>
        <c:idx val="9"/>
        <c:spPr>
          <a:solidFill>
            <a:schemeClr val="accent1">
              <a:lumMod val="60000"/>
              <a:lumOff val="40000"/>
            </a:schemeClr>
          </a:solidFill>
          <a:ln w="25400">
            <a:solidFill>
              <a:schemeClr val="lt1"/>
            </a:solidFill>
          </a:ln>
          <a:effectLst/>
          <a:sp3d contourW="25400">
            <a:contourClr>
              <a:schemeClr val="lt1"/>
            </a:contourClr>
          </a:sp3d>
        </c:spPr>
      </c:pivotFmt>
      <c:pivotFmt>
        <c:idx val="10"/>
        <c:spPr>
          <a:solidFill>
            <a:schemeClr val="accent1">
              <a:lumMod val="60000"/>
              <a:lumOff val="40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table'!$F$14</c:f>
              <c:strCache>
                <c:ptCount val="1"/>
                <c:pt idx="0">
                  <c:v>Total</c:v>
                </c:pt>
              </c:strCache>
            </c:strRef>
          </c:tx>
          <c:spPr>
            <a:solidFill>
              <a:schemeClr val="accent1">
                <a:lumMod val="60000"/>
                <a:lumOff val="40000"/>
              </a:schemeClr>
            </a:solidFill>
          </c:spPr>
          <c:dPt>
            <c:idx val="0"/>
            <c:bubble3D val="0"/>
            <c:spPr>
              <a:solidFill>
                <a:schemeClr val="accent1">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6239-40D0-9B30-3E5E25A3BAE3}"/>
              </c:ext>
            </c:extLst>
          </c:dPt>
          <c:dPt>
            <c:idx val="1"/>
            <c:bubble3D val="0"/>
            <c:spPr>
              <a:solidFill>
                <a:schemeClr val="accent1">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6239-40D0-9B30-3E5E25A3BAE3}"/>
              </c:ext>
            </c:extLst>
          </c:dPt>
          <c:dPt>
            <c:idx val="2"/>
            <c:bubble3D val="0"/>
            <c:spPr>
              <a:solidFill>
                <a:schemeClr val="accent1">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6239-40D0-9B30-3E5E25A3BAE3}"/>
              </c:ext>
            </c:extLst>
          </c:dPt>
          <c:dPt>
            <c:idx val="3"/>
            <c:bubble3D val="0"/>
            <c:spPr>
              <a:solidFill>
                <a:schemeClr val="accent1">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6239-40D0-9B30-3E5E25A3BAE3}"/>
              </c:ext>
            </c:extLst>
          </c:dPt>
          <c:cat>
            <c:strRef>
              <c:f>'Pivot table'!$E$15:$E$19</c:f>
              <c:strCache>
                <c:ptCount val="4"/>
                <c:pt idx="0">
                  <c:v>Critical</c:v>
                </c:pt>
                <c:pt idx="1">
                  <c:v>High</c:v>
                </c:pt>
                <c:pt idx="2">
                  <c:v>Low</c:v>
                </c:pt>
                <c:pt idx="3">
                  <c:v>Medium</c:v>
                </c:pt>
              </c:strCache>
            </c:strRef>
          </c:cat>
          <c:val>
            <c:numRef>
              <c:f>'Pivot table'!$F$15:$F$19</c:f>
              <c:numCache>
                <c:formatCode>General</c:formatCode>
                <c:ptCount val="4"/>
                <c:pt idx="0">
                  <c:v>34</c:v>
                </c:pt>
                <c:pt idx="1">
                  <c:v>107</c:v>
                </c:pt>
                <c:pt idx="2">
                  <c:v>118</c:v>
                </c:pt>
                <c:pt idx="3">
                  <c:v>241</c:v>
                </c:pt>
              </c:numCache>
            </c:numRef>
          </c:val>
          <c:extLst>
            <c:ext xmlns:c16="http://schemas.microsoft.com/office/drawing/2014/chart" uri="{C3380CC4-5D6E-409C-BE32-E72D297353CC}">
              <c16:uniqueId val="{00000008-6239-40D0-9B30-3E5E25A3BAE3}"/>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1800" b="0" i="0" u="none" strike="noStrike" kern="1200" baseline="0">
              <a:solidFill>
                <a:schemeClr val="bg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95000"/>
        <a:lumOff val="5000"/>
      </a:schemeClr>
    </a:solidFill>
    <a:ln w="9525" cap="flat" cmpd="sng" algn="ctr">
      <a:solidFill>
        <a:schemeClr val="accent5">
          <a:lumMod val="40000"/>
          <a:lumOff val="6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[Crime_Analytics_Synthetic.xlsx]Pivot table!PivotTable5</c:name>
    <c:fmtId val="3"/>
  </c:pivotSource>
  <c:chart>
    <c:title>
      <c:tx>
        <c:rich>
          <a:bodyPr rot="0" spcFirstLastPara="1" vertOverflow="ellipsis" vert="horz" wrap="square" anchor="ctr" anchorCtr="1"/>
          <a:lstStyle/>
          <a:p>
            <a:pPr>
              <a:defRPr sz="3600" b="0" i="0" u="none" strike="noStrike" kern="1200" spc="0" baseline="0">
                <a:solidFill>
                  <a:schemeClr val="bg1">
                    <a:lumMod val="85000"/>
                  </a:schemeClr>
                </a:solidFill>
                <a:latin typeface="+mn-lt"/>
                <a:ea typeface="+mn-ea"/>
                <a:cs typeface="+mn-cs"/>
              </a:defRPr>
            </a:pPr>
            <a:r>
              <a:rPr lang="en-IN" sz="3600" b="0" i="0" u="none" strike="noStrike" baseline="0">
                <a:solidFill>
                  <a:schemeClr val="bg1">
                    <a:lumMod val="85000"/>
                  </a:schemeClr>
                </a:solidFill>
              </a:rPr>
              <a:t>Case Status</a:t>
            </a:r>
            <a:endParaRPr lang="en-US" sz="3600">
              <a:solidFill>
                <a:schemeClr val="bg1">
                  <a:lumMod val="85000"/>
                </a:schemeClr>
              </a:solidFill>
            </a:endParaRPr>
          </a:p>
        </c:rich>
      </c:tx>
      <c:overlay val="0"/>
      <c:spPr>
        <a:noFill/>
        <a:ln>
          <a:noFill/>
        </a:ln>
        <a:effectLst/>
      </c:spPr>
      <c:txPr>
        <a:bodyPr rot="0" spcFirstLastPara="1" vertOverflow="ellipsis" vert="horz" wrap="square" anchor="ctr" anchorCtr="1"/>
        <a:lstStyle/>
        <a:p>
          <a:pPr>
            <a:defRPr sz="3600" b="0" i="0" u="none" strike="noStrike" kern="1200" spc="0" baseline="0">
              <a:solidFill>
                <a:schemeClr val="bg1">
                  <a:lumMod val="8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table'!$J$3</c:f>
              <c:strCache>
                <c:ptCount val="1"/>
                <c:pt idx="0">
                  <c:v>Total</c:v>
                </c:pt>
              </c:strCache>
            </c:strRef>
          </c:tx>
          <c:spPr>
            <a:solidFill>
              <a:schemeClr val="tx2">
                <a:lumMod val="40000"/>
                <a:lumOff val="60000"/>
              </a:schemeClr>
            </a:solidFill>
            <a:ln>
              <a:noFill/>
            </a:ln>
            <a:effectLst/>
          </c:spPr>
          <c:invertIfNegative val="0"/>
          <c:cat>
            <c:strRef>
              <c:f>'Pivot table'!$I$4:$I$8</c:f>
              <c:strCache>
                <c:ptCount val="4"/>
                <c:pt idx="0">
                  <c:v>Closed</c:v>
                </c:pt>
                <c:pt idx="1">
                  <c:v>Investigating</c:v>
                </c:pt>
                <c:pt idx="2">
                  <c:v>Open</c:v>
                </c:pt>
                <c:pt idx="3">
                  <c:v>Under Trial</c:v>
                </c:pt>
              </c:strCache>
            </c:strRef>
          </c:cat>
          <c:val>
            <c:numRef>
              <c:f>'Pivot table'!$J$4:$J$8</c:f>
              <c:numCache>
                <c:formatCode>General</c:formatCode>
                <c:ptCount val="4"/>
                <c:pt idx="0">
                  <c:v>187</c:v>
                </c:pt>
                <c:pt idx="1">
                  <c:v>180</c:v>
                </c:pt>
                <c:pt idx="2">
                  <c:v>87</c:v>
                </c:pt>
                <c:pt idx="3">
                  <c:v>46</c:v>
                </c:pt>
              </c:numCache>
            </c:numRef>
          </c:val>
          <c:extLst>
            <c:ext xmlns:c16="http://schemas.microsoft.com/office/drawing/2014/chart" uri="{C3380CC4-5D6E-409C-BE32-E72D297353CC}">
              <c16:uniqueId val="{00000000-25C3-44AD-A93A-D63E4FAF2122}"/>
            </c:ext>
          </c:extLst>
        </c:ser>
        <c:dLbls>
          <c:showLegendKey val="0"/>
          <c:showVal val="0"/>
          <c:showCatName val="0"/>
          <c:showSerName val="0"/>
          <c:showPercent val="0"/>
          <c:showBubbleSize val="0"/>
        </c:dLbls>
        <c:gapWidth val="219"/>
        <c:overlap val="-27"/>
        <c:axId val="289373151"/>
        <c:axId val="174265167"/>
      </c:barChart>
      <c:catAx>
        <c:axId val="289373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US"/>
          </a:p>
        </c:txPr>
        <c:crossAx val="174265167"/>
        <c:crosses val="autoZero"/>
        <c:auto val="1"/>
        <c:lblAlgn val="ctr"/>
        <c:lblOffset val="100"/>
        <c:noMultiLvlLbl val="0"/>
      </c:catAx>
      <c:valAx>
        <c:axId val="1742651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lumMod val="85000"/>
                  </a:schemeClr>
                </a:solidFill>
                <a:latin typeface="+mn-lt"/>
                <a:ea typeface="+mn-ea"/>
                <a:cs typeface="+mn-cs"/>
              </a:defRPr>
            </a:pPr>
            <a:endParaRPr lang="en-US"/>
          </a:p>
        </c:txPr>
        <c:crossAx val="289373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95000"/>
        <a:lumOff val="5000"/>
      </a:schemeClr>
    </a:solidFill>
    <a:ln w="9525" cap="flat" cmpd="sng" algn="ctr">
      <a:solidFill>
        <a:schemeClr val="accent5">
          <a:lumMod val="40000"/>
          <a:lumOff val="6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[Crime_Analytics_Synthetic.xlsx]Pivot table!PivotTable7</c:name>
    <c:fmtId val="3"/>
  </c:pivotSource>
  <c:chart>
    <c:title>
      <c:tx>
        <c:rich>
          <a:bodyPr rot="0" spcFirstLastPara="1" vertOverflow="ellipsis" vert="horz" wrap="square" anchor="ctr" anchorCtr="1"/>
          <a:lstStyle/>
          <a:p>
            <a:pPr>
              <a:defRPr sz="3600" b="0" i="0" u="none" strike="noStrike" kern="1200" spc="0" baseline="0">
                <a:solidFill>
                  <a:schemeClr val="bg1">
                    <a:lumMod val="85000"/>
                  </a:schemeClr>
                </a:solidFill>
                <a:latin typeface="+mn-lt"/>
                <a:ea typeface="+mn-ea"/>
                <a:cs typeface="+mn-cs"/>
              </a:defRPr>
            </a:pPr>
            <a:r>
              <a:rPr lang="en-IN" sz="3600" b="0" i="0" u="none" strike="noStrike" baseline="0">
                <a:solidFill>
                  <a:schemeClr val="bg1">
                    <a:lumMod val="85000"/>
                  </a:schemeClr>
                </a:solidFill>
              </a:rPr>
              <a:t>Daily Crime Trend</a:t>
            </a:r>
            <a:endParaRPr lang="en-IN" sz="3600">
              <a:solidFill>
                <a:schemeClr val="bg1">
                  <a:lumMod val="85000"/>
                </a:schemeClr>
              </a:solidFill>
            </a:endParaRPr>
          </a:p>
        </c:rich>
      </c:tx>
      <c:overlay val="0"/>
      <c:spPr>
        <a:noFill/>
        <a:ln>
          <a:noFill/>
        </a:ln>
        <a:effectLst/>
      </c:spPr>
      <c:txPr>
        <a:bodyPr rot="0" spcFirstLastPara="1" vertOverflow="ellipsis" vert="horz" wrap="square" anchor="ctr" anchorCtr="1"/>
        <a:lstStyle/>
        <a:p>
          <a:pPr>
            <a:defRPr sz="3600" b="0" i="0" u="none" strike="noStrike" kern="1200" spc="0" baseline="0">
              <a:solidFill>
                <a:schemeClr val="bg1">
                  <a:lumMod val="8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5859278678873332E-2"/>
          <c:y val="0.11159077020523045"/>
          <c:w val="0.92011744172879895"/>
          <c:h val="0.81610505005706335"/>
        </c:manualLayout>
      </c:layout>
      <c:lineChart>
        <c:grouping val="standard"/>
        <c:varyColors val="0"/>
        <c:ser>
          <c:idx val="0"/>
          <c:order val="0"/>
          <c:tx>
            <c:strRef>
              <c:f>'Pivot table'!$O$3</c:f>
              <c:strCache>
                <c:ptCount val="1"/>
                <c:pt idx="0">
                  <c:v>Total</c:v>
                </c:pt>
              </c:strCache>
            </c:strRef>
          </c:tx>
          <c:spPr>
            <a:ln w="28575" cap="rnd">
              <a:solidFill>
                <a:schemeClr val="bg1">
                  <a:lumMod val="85000"/>
                </a:schemeClr>
              </a:solidFill>
              <a:round/>
            </a:ln>
            <a:effectLst/>
          </c:spPr>
          <c:marker>
            <c:symbol val="none"/>
          </c:marker>
          <c:cat>
            <c:strRef>
              <c:f>'Pivot table'!$N$4:$N$34</c:f>
              <c:strCache>
                <c:ptCount val="30"/>
                <c:pt idx="0">
                  <c:v>2026-10-01</c:v>
                </c:pt>
                <c:pt idx="1">
                  <c:v>2026-10-02</c:v>
                </c:pt>
                <c:pt idx="2">
                  <c:v>2026-10-03</c:v>
                </c:pt>
                <c:pt idx="3">
                  <c:v>2026-10-04</c:v>
                </c:pt>
                <c:pt idx="4">
                  <c:v>2026-10-05</c:v>
                </c:pt>
                <c:pt idx="5">
                  <c:v>2026-10-06</c:v>
                </c:pt>
                <c:pt idx="6">
                  <c:v>2026-10-07</c:v>
                </c:pt>
                <c:pt idx="7">
                  <c:v>2026-10-08</c:v>
                </c:pt>
                <c:pt idx="8">
                  <c:v>2026-10-09</c:v>
                </c:pt>
                <c:pt idx="9">
                  <c:v>2026-10-10</c:v>
                </c:pt>
                <c:pt idx="10">
                  <c:v>2026-10-11</c:v>
                </c:pt>
                <c:pt idx="11">
                  <c:v>2026-10-12</c:v>
                </c:pt>
                <c:pt idx="12">
                  <c:v>2026-10-13</c:v>
                </c:pt>
                <c:pt idx="13">
                  <c:v>2026-10-14</c:v>
                </c:pt>
                <c:pt idx="14">
                  <c:v>2026-10-15</c:v>
                </c:pt>
                <c:pt idx="15">
                  <c:v>2026-10-16</c:v>
                </c:pt>
                <c:pt idx="16">
                  <c:v>2026-10-17</c:v>
                </c:pt>
                <c:pt idx="17">
                  <c:v>2026-10-18</c:v>
                </c:pt>
                <c:pt idx="18">
                  <c:v>2026-10-19</c:v>
                </c:pt>
                <c:pt idx="19">
                  <c:v>2026-10-20</c:v>
                </c:pt>
                <c:pt idx="20">
                  <c:v>2026-10-21</c:v>
                </c:pt>
                <c:pt idx="21">
                  <c:v>2026-10-22</c:v>
                </c:pt>
                <c:pt idx="22">
                  <c:v>2026-10-23</c:v>
                </c:pt>
                <c:pt idx="23">
                  <c:v>2026-10-24</c:v>
                </c:pt>
                <c:pt idx="24">
                  <c:v>2026-10-25</c:v>
                </c:pt>
                <c:pt idx="25">
                  <c:v>2026-10-26</c:v>
                </c:pt>
                <c:pt idx="26">
                  <c:v>2026-10-27</c:v>
                </c:pt>
                <c:pt idx="27">
                  <c:v>2026-10-28</c:v>
                </c:pt>
                <c:pt idx="28">
                  <c:v>2026-10-29</c:v>
                </c:pt>
                <c:pt idx="29">
                  <c:v>2026-10-30</c:v>
                </c:pt>
              </c:strCache>
            </c:strRef>
          </c:cat>
          <c:val>
            <c:numRef>
              <c:f>'Pivot table'!$O$4:$O$34</c:f>
              <c:numCache>
                <c:formatCode>General</c:formatCode>
                <c:ptCount val="30"/>
                <c:pt idx="0">
                  <c:v>18</c:v>
                </c:pt>
                <c:pt idx="1">
                  <c:v>18</c:v>
                </c:pt>
                <c:pt idx="2">
                  <c:v>13</c:v>
                </c:pt>
                <c:pt idx="3">
                  <c:v>19</c:v>
                </c:pt>
                <c:pt idx="4">
                  <c:v>12</c:v>
                </c:pt>
                <c:pt idx="5">
                  <c:v>15</c:v>
                </c:pt>
                <c:pt idx="6">
                  <c:v>16</c:v>
                </c:pt>
                <c:pt idx="7">
                  <c:v>21</c:v>
                </c:pt>
                <c:pt idx="8">
                  <c:v>10</c:v>
                </c:pt>
                <c:pt idx="9">
                  <c:v>17</c:v>
                </c:pt>
                <c:pt idx="10">
                  <c:v>18</c:v>
                </c:pt>
                <c:pt idx="11">
                  <c:v>15</c:v>
                </c:pt>
                <c:pt idx="12">
                  <c:v>15</c:v>
                </c:pt>
                <c:pt idx="13">
                  <c:v>21</c:v>
                </c:pt>
                <c:pt idx="14">
                  <c:v>15</c:v>
                </c:pt>
                <c:pt idx="15">
                  <c:v>15</c:v>
                </c:pt>
                <c:pt idx="16">
                  <c:v>17</c:v>
                </c:pt>
                <c:pt idx="17">
                  <c:v>15</c:v>
                </c:pt>
                <c:pt idx="18">
                  <c:v>18</c:v>
                </c:pt>
                <c:pt idx="19">
                  <c:v>13</c:v>
                </c:pt>
                <c:pt idx="20">
                  <c:v>26</c:v>
                </c:pt>
                <c:pt idx="21">
                  <c:v>19</c:v>
                </c:pt>
                <c:pt idx="22">
                  <c:v>13</c:v>
                </c:pt>
                <c:pt idx="23">
                  <c:v>20</c:v>
                </c:pt>
                <c:pt idx="24">
                  <c:v>15</c:v>
                </c:pt>
                <c:pt idx="25">
                  <c:v>19</c:v>
                </c:pt>
                <c:pt idx="26">
                  <c:v>13</c:v>
                </c:pt>
                <c:pt idx="27">
                  <c:v>17</c:v>
                </c:pt>
                <c:pt idx="28">
                  <c:v>13</c:v>
                </c:pt>
                <c:pt idx="29">
                  <c:v>24</c:v>
                </c:pt>
              </c:numCache>
            </c:numRef>
          </c:val>
          <c:smooth val="0"/>
          <c:extLst>
            <c:ext xmlns:c16="http://schemas.microsoft.com/office/drawing/2014/chart" uri="{C3380CC4-5D6E-409C-BE32-E72D297353CC}">
              <c16:uniqueId val="{00000000-4C54-4028-9F6E-24C00BF8C7A5}"/>
            </c:ext>
          </c:extLst>
        </c:ser>
        <c:dLbls>
          <c:showLegendKey val="0"/>
          <c:showVal val="0"/>
          <c:showCatName val="0"/>
          <c:showSerName val="0"/>
          <c:showPercent val="0"/>
          <c:showBubbleSize val="0"/>
        </c:dLbls>
        <c:smooth val="0"/>
        <c:axId val="298491231"/>
        <c:axId val="174249327"/>
      </c:lineChart>
      <c:catAx>
        <c:axId val="298491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US"/>
          </a:p>
        </c:txPr>
        <c:crossAx val="174249327"/>
        <c:crosses val="autoZero"/>
        <c:auto val="1"/>
        <c:lblAlgn val="ctr"/>
        <c:lblOffset val="100"/>
        <c:noMultiLvlLbl val="0"/>
      </c:catAx>
      <c:valAx>
        <c:axId val="1742493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US"/>
          </a:p>
        </c:txPr>
        <c:crossAx val="298491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95000"/>
        <a:lumOff val="5000"/>
      </a:schemeClr>
    </a:solidFill>
    <a:ln w="9525" cap="flat" cmpd="sng" algn="ctr">
      <a:solidFill>
        <a:schemeClr val="accent5">
          <a:lumMod val="40000"/>
          <a:lumOff val="6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[Crime_Analytics_Synthetic.xlsx]Pivot table!PivotTable6</c:name>
    <c:fmtId val="3"/>
  </c:pivotSource>
  <c:chart>
    <c:title>
      <c:tx>
        <c:rich>
          <a:bodyPr rot="0" spcFirstLastPara="1" vertOverflow="ellipsis" vert="horz" wrap="square" anchor="ctr" anchorCtr="1"/>
          <a:lstStyle/>
          <a:p>
            <a:pPr>
              <a:defRPr sz="3600" b="0" i="0" u="none" strike="noStrike" kern="1200" spc="0" baseline="0">
                <a:solidFill>
                  <a:schemeClr val="bg1">
                    <a:lumMod val="85000"/>
                  </a:schemeClr>
                </a:solidFill>
                <a:latin typeface="+mn-lt"/>
                <a:ea typeface="+mn-ea"/>
                <a:cs typeface="+mn-cs"/>
              </a:defRPr>
            </a:pPr>
            <a:r>
              <a:rPr lang="en-IN" sz="3600" b="0" i="0" u="none" strike="noStrike" baseline="0">
                <a:solidFill>
                  <a:schemeClr val="bg1">
                    <a:lumMod val="85000"/>
                  </a:schemeClr>
                </a:solidFill>
              </a:rPr>
              <a:t>Crime by Time Period</a:t>
            </a:r>
            <a:endParaRPr lang="en-IN" sz="3600">
              <a:solidFill>
                <a:schemeClr val="bg1">
                  <a:lumMod val="85000"/>
                </a:schemeClr>
              </a:solidFill>
            </a:endParaRPr>
          </a:p>
        </c:rich>
      </c:tx>
      <c:overlay val="0"/>
      <c:spPr>
        <a:noFill/>
        <a:ln>
          <a:noFill/>
        </a:ln>
        <a:effectLst/>
      </c:spPr>
      <c:txPr>
        <a:bodyPr rot="0" spcFirstLastPara="1" vertOverflow="ellipsis" vert="horz" wrap="square" anchor="ctr" anchorCtr="1"/>
        <a:lstStyle/>
        <a:p>
          <a:pPr>
            <a:defRPr sz="3600" b="0" i="0" u="none" strike="noStrike" kern="1200" spc="0" baseline="0">
              <a:solidFill>
                <a:schemeClr val="bg1">
                  <a:lumMod val="8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table'!$K$15</c:f>
              <c:strCache>
                <c:ptCount val="1"/>
                <c:pt idx="0">
                  <c:v>Total</c:v>
                </c:pt>
              </c:strCache>
            </c:strRef>
          </c:tx>
          <c:spPr>
            <a:solidFill>
              <a:schemeClr val="tx2">
                <a:lumMod val="40000"/>
                <a:lumOff val="60000"/>
              </a:schemeClr>
            </a:solidFill>
            <a:ln>
              <a:noFill/>
            </a:ln>
            <a:effectLst/>
          </c:spPr>
          <c:invertIfNegative val="0"/>
          <c:cat>
            <c:strRef>
              <c:f>'Pivot table'!$J$16:$J$20</c:f>
              <c:strCache>
                <c:ptCount val="4"/>
                <c:pt idx="0">
                  <c:v>Afternoon</c:v>
                </c:pt>
                <c:pt idx="1">
                  <c:v>Evening</c:v>
                </c:pt>
                <c:pt idx="2">
                  <c:v>Morning</c:v>
                </c:pt>
                <c:pt idx="3">
                  <c:v>Night</c:v>
                </c:pt>
              </c:strCache>
            </c:strRef>
          </c:cat>
          <c:val>
            <c:numRef>
              <c:f>'Pivot table'!$K$16:$K$20</c:f>
              <c:numCache>
                <c:formatCode>General</c:formatCode>
                <c:ptCount val="4"/>
                <c:pt idx="0">
                  <c:v>115</c:v>
                </c:pt>
                <c:pt idx="1">
                  <c:v>89</c:v>
                </c:pt>
                <c:pt idx="2">
                  <c:v>120</c:v>
                </c:pt>
                <c:pt idx="3">
                  <c:v>176</c:v>
                </c:pt>
              </c:numCache>
            </c:numRef>
          </c:val>
          <c:extLst>
            <c:ext xmlns:c16="http://schemas.microsoft.com/office/drawing/2014/chart" uri="{C3380CC4-5D6E-409C-BE32-E72D297353CC}">
              <c16:uniqueId val="{00000000-B807-49F3-AC54-9B1F5E2D2A10}"/>
            </c:ext>
          </c:extLst>
        </c:ser>
        <c:dLbls>
          <c:showLegendKey val="0"/>
          <c:showVal val="0"/>
          <c:showCatName val="0"/>
          <c:showSerName val="0"/>
          <c:showPercent val="0"/>
          <c:showBubbleSize val="0"/>
        </c:dLbls>
        <c:gapWidth val="219"/>
        <c:overlap val="-27"/>
        <c:axId val="289376863"/>
        <c:axId val="174248367"/>
      </c:barChart>
      <c:catAx>
        <c:axId val="289376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US"/>
          </a:p>
        </c:txPr>
        <c:crossAx val="174248367"/>
        <c:crosses val="autoZero"/>
        <c:auto val="1"/>
        <c:lblAlgn val="ctr"/>
        <c:lblOffset val="100"/>
        <c:noMultiLvlLbl val="0"/>
      </c:catAx>
      <c:valAx>
        <c:axId val="1742483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US"/>
          </a:p>
        </c:txPr>
        <c:crossAx val="289376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95000"/>
        <a:lumOff val="5000"/>
      </a:schemeClr>
    </a:solidFill>
    <a:ln w="9525" cap="flat" cmpd="sng" algn="ctr">
      <a:solidFill>
        <a:schemeClr val="accent5">
          <a:lumMod val="40000"/>
          <a:lumOff val="6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29</xdr:col>
      <xdr:colOff>243840</xdr:colOff>
      <xdr:row>65</xdr:row>
      <xdr:rowOff>114300</xdr:rowOff>
    </xdr:from>
    <xdr:ext cx="184731" cy="264560"/>
    <xdr:sp macro="" textlink="">
      <xdr:nvSpPr>
        <xdr:cNvPr id="7" name="TextBox 6">
          <a:extLst>
            <a:ext uri="{FF2B5EF4-FFF2-40B4-BE49-F238E27FC236}">
              <a16:creationId xmlns:a16="http://schemas.microsoft.com/office/drawing/2014/main" id="{E7194C96-AC0C-E718-BF70-F81068E19EDB}"/>
            </a:ext>
          </a:extLst>
        </xdr:cNvPr>
        <xdr:cNvSpPr txBox="1"/>
      </xdr:nvSpPr>
      <xdr:spPr>
        <a:xfrm>
          <a:off x="7559040" y="3771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29</xdr:col>
      <xdr:colOff>10264</xdr:colOff>
      <xdr:row>47</xdr:row>
      <xdr:rowOff>69273</xdr:rowOff>
    </xdr:from>
    <xdr:to>
      <xdr:col>49</xdr:col>
      <xdr:colOff>461819</xdr:colOff>
      <xdr:row>90</xdr:row>
      <xdr:rowOff>115454</xdr:rowOff>
    </xdr:to>
    <xdr:graphicFrame macro="">
      <xdr:nvGraphicFramePr>
        <xdr:cNvPr id="8" name="Chart 7">
          <a:extLst>
            <a:ext uri="{FF2B5EF4-FFF2-40B4-BE49-F238E27FC236}">
              <a16:creationId xmlns:a16="http://schemas.microsoft.com/office/drawing/2014/main" id="{B1433102-65FD-430C-B4FA-6339F5C51E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50</xdr:col>
      <xdr:colOff>69274</xdr:colOff>
      <xdr:row>47</xdr:row>
      <xdr:rowOff>46183</xdr:rowOff>
    </xdr:from>
    <xdr:to>
      <xdr:col>71</xdr:col>
      <xdr:colOff>369454</xdr:colOff>
      <xdr:row>90</xdr:row>
      <xdr:rowOff>92363</xdr:rowOff>
    </xdr:to>
    <xdr:graphicFrame macro="">
      <xdr:nvGraphicFramePr>
        <xdr:cNvPr id="9" name="Chart 8">
          <a:extLst>
            <a:ext uri="{FF2B5EF4-FFF2-40B4-BE49-F238E27FC236}">
              <a16:creationId xmlns:a16="http://schemas.microsoft.com/office/drawing/2014/main" id="{6EE65C9E-669E-45AF-BF5D-944B4BFD7B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46183</xdr:colOff>
      <xdr:row>47</xdr:row>
      <xdr:rowOff>48745</xdr:rowOff>
    </xdr:from>
    <xdr:to>
      <xdr:col>28</xdr:col>
      <xdr:colOff>369455</xdr:colOff>
      <xdr:row>90</xdr:row>
      <xdr:rowOff>161636</xdr:rowOff>
    </xdr:to>
    <xdr:graphicFrame macro="">
      <xdr:nvGraphicFramePr>
        <xdr:cNvPr id="10" name="Chart 9">
          <a:extLst>
            <a:ext uri="{FF2B5EF4-FFF2-40B4-BE49-F238E27FC236}">
              <a16:creationId xmlns:a16="http://schemas.microsoft.com/office/drawing/2014/main" id="{C29B36E0-10A6-4B46-8DE6-0FC2F9F289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600362</xdr:colOff>
      <xdr:row>93</xdr:row>
      <xdr:rowOff>-1</xdr:rowOff>
    </xdr:from>
    <xdr:to>
      <xdr:col>28</xdr:col>
      <xdr:colOff>369453</xdr:colOff>
      <xdr:row>143</xdr:row>
      <xdr:rowOff>92364</xdr:rowOff>
    </xdr:to>
    <xdr:graphicFrame macro="">
      <xdr:nvGraphicFramePr>
        <xdr:cNvPr id="11" name="Chart 10">
          <a:extLst>
            <a:ext uri="{FF2B5EF4-FFF2-40B4-BE49-F238E27FC236}">
              <a16:creationId xmlns:a16="http://schemas.microsoft.com/office/drawing/2014/main" id="{4BC21E96-FF32-44DA-BA71-5CF1B7B87A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50</xdr:col>
      <xdr:colOff>92363</xdr:colOff>
      <xdr:row>92</xdr:row>
      <xdr:rowOff>161637</xdr:rowOff>
    </xdr:from>
    <xdr:to>
      <xdr:col>71</xdr:col>
      <xdr:colOff>392546</xdr:colOff>
      <xdr:row>143</xdr:row>
      <xdr:rowOff>138546</xdr:rowOff>
    </xdr:to>
    <xdr:graphicFrame macro="">
      <xdr:nvGraphicFramePr>
        <xdr:cNvPr id="12" name="Chart 11">
          <a:extLst>
            <a:ext uri="{FF2B5EF4-FFF2-40B4-BE49-F238E27FC236}">
              <a16:creationId xmlns:a16="http://schemas.microsoft.com/office/drawing/2014/main" id="{3E32D98D-634A-4612-808E-DF56A4C6B6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29</xdr:col>
      <xdr:colOff>0</xdr:colOff>
      <xdr:row>92</xdr:row>
      <xdr:rowOff>161637</xdr:rowOff>
    </xdr:from>
    <xdr:to>
      <xdr:col>49</xdr:col>
      <xdr:colOff>438727</xdr:colOff>
      <xdr:row>143</xdr:row>
      <xdr:rowOff>92364</xdr:rowOff>
    </xdr:to>
    <xdr:graphicFrame macro="">
      <xdr:nvGraphicFramePr>
        <xdr:cNvPr id="13" name="Chart 12">
          <a:extLst>
            <a:ext uri="{FF2B5EF4-FFF2-40B4-BE49-F238E27FC236}">
              <a16:creationId xmlns:a16="http://schemas.microsoft.com/office/drawing/2014/main" id="{FCCAF8D3-AF35-4B87-8957-533A204B94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71</xdr:col>
      <xdr:colOff>564972</xdr:colOff>
      <xdr:row>64</xdr:row>
      <xdr:rowOff>181429</xdr:rowOff>
    </xdr:from>
    <xdr:to>
      <xdr:col>78</xdr:col>
      <xdr:colOff>67564</xdr:colOff>
      <xdr:row>81</xdr:row>
      <xdr:rowOff>147515</xdr:rowOff>
    </xdr:to>
    <mc:AlternateContent xmlns:mc="http://schemas.openxmlformats.org/markup-compatibility/2006">
      <mc:Choice xmlns:a14="http://schemas.microsoft.com/office/drawing/2010/main" Requires="a14">
        <xdr:graphicFrame macro="">
          <xdr:nvGraphicFramePr>
            <xdr:cNvPr id="14" name="Location">
              <a:extLst>
                <a:ext uri="{FF2B5EF4-FFF2-40B4-BE49-F238E27FC236}">
                  <a16:creationId xmlns:a16="http://schemas.microsoft.com/office/drawing/2014/main" id="{050609E3-CD3D-4090-9B97-9E04C4DA9A51}"/>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dr:sp macro="" textlink="">
          <xdr:nvSpPr>
            <xdr:cNvPr id="0" name=""/>
            <xdr:cNvSpPr>
              <a:spLocks noTextEdit="1"/>
            </xdr:cNvSpPr>
          </xdr:nvSpPr>
          <xdr:spPr>
            <a:xfrm>
              <a:off x="46208772" y="10239829"/>
              <a:ext cx="3769792" cy="25568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71</xdr:col>
      <xdr:colOff>563775</xdr:colOff>
      <xdr:row>84</xdr:row>
      <xdr:rowOff>139700</xdr:rowOff>
    </xdr:from>
    <xdr:to>
      <xdr:col>78</xdr:col>
      <xdr:colOff>70803</xdr:colOff>
      <xdr:row>103</xdr:row>
      <xdr:rowOff>56351</xdr:rowOff>
    </xdr:to>
    <mc:AlternateContent xmlns:mc="http://schemas.openxmlformats.org/markup-compatibility/2006" xmlns:a14="http://schemas.microsoft.com/office/drawing/2010/main">
      <mc:Choice Requires="a14">
        <xdr:graphicFrame macro="">
          <xdr:nvGraphicFramePr>
            <xdr:cNvPr id="15" name="Crime_Type">
              <a:extLst>
                <a:ext uri="{FF2B5EF4-FFF2-40B4-BE49-F238E27FC236}">
                  <a16:creationId xmlns:a16="http://schemas.microsoft.com/office/drawing/2014/main" id="{940E833F-2C70-45F3-8BC1-D0F1B4D90B14}"/>
                </a:ext>
              </a:extLst>
            </xdr:cNvPr>
            <xdr:cNvGraphicFramePr/>
          </xdr:nvGraphicFramePr>
          <xdr:xfrm>
            <a:off x="0" y="0"/>
            <a:ext cx="0" cy="0"/>
          </xdr:xfrm>
          <a:graphic>
            <a:graphicData uri="http://schemas.microsoft.com/office/drawing/2010/slicer">
              <sle:slicer xmlns:sle="http://schemas.microsoft.com/office/drawing/2010/slicer" name="Crime_Type"/>
            </a:graphicData>
          </a:graphic>
        </xdr:graphicFrame>
      </mc:Choice>
      <mc:Fallback xmlns="">
        <xdr:sp macro="" textlink="">
          <xdr:nvSpPr>
            <xdr:cNvPr id="0" name=""/>
            <xdr:cNvSpPr>
              <a:spLocks noTextEdit="1"/>
            </xdr:cNvSpPr>
          </xdr:nvSpPr>
          <xdr:spPr>
            <a:xfrm>
              <a:off x="43275880" y="14978647"/>
              <a:ext cx="3759111" cy="43165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71</xdr:col>
      <xdr:colOff>568601</xdr:colOff>
      <xdr:row>131</xdr:row>
      <xdr:rowOff>136071</xdr:rowOff>
    </xdr:from>
    <xdr:to>
      <xdr:col>78</xdr:col>
      <xdr:colOff>114488</xdr:colOff>
      <xdr:row>142</xdr:row>
      <xdr:rowOff>34193</xdr:rowOff>
    </xdr:to>
    <mc:AlternateContent xmlns:mc="http://schemas.openxmlformats.org/markup-compatibility/2006" xmlns:a14="http://schemas.microsoft.com/office/drawing/2010/main">
      <mc:Choice Requires="a14">
        <xdr:graphicFrame macro="">
          <xdr:nvGraphicFramePr>
            <xdr:cNvPr id="16" name="Severity">
              <a:extLst>
                <a:ext uri="{FF2B5EF4-FFF2-40B4-BE49-F238E27FC236}">
                  <a16:creationId xmlns:a16="http://schemas.microsoft.com/office/drawing/2014/main" id="{FC786C70-ACB6-4793-BDC0-9DD63277ED34}"/>
                </a:ext>
              </a:extLst>
            </xdr:cNvPr>
            <xdr:cNvGraphicFramePr/>
          </xdr:nvGraphicFramePr>
          <xdr:xfrm>
            <a:off x="0" y="0"/>
            <a:ext cx="0" cy="0"/>
          </xdr:xfrm>
          <a:graphic>
            <a:graphicData uri="http://schemas.microsoft.com/office/drawing/2010/slicer">
              <sle:slicer xmlns:sle="http://schemas.microsoft.com/office/drawing/2010/slicer" name="Severity"/>
            </a:graphicData>
          </a:graphic>
        </xdr:graphicFrame>
      </mc:Choice>
      <mc:Fallback xmlns="">
        <xdr:sp macro="" textlink="">
          <xdr:nvSpPr>
            <xdr:cNvPr id="0" name=""/>
            <xdr:cNvSpPr>
              <a:spLocks noTextEdit="1"/>
            </xdr:cNvSpPr>
          </xdr:nvSpPr>
          <xdr:spPr>
            <a:xfrm>
              <a:off x="43280706" y="24399755"/>
              <a:ext cx="3797970" cy="24099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71</xdr:col>
      <xdr:colOff>554105</xdr:colOff>
      <xdr:row>119</xdr:row>
      <xdr:rowOff>54429</xdr:rowOff>
    </xdr:from>
    <xdr:to>
      <xdr:col>78</xdr:col>
      <xdr:colOff>135848</xdr:colOff>
      <xdr:row>129</xdr:row>
      <xdr:rowOff>44937</xdr:rowOff>
    </xdr:to>
    <mc:AlternateContent xmlns:mc="http://schemas.openxmlformats.org/markup-compatibility/2006" xmlns:a14="http://schemas.microsoft.com/office/drawing/2010/main">
      <mc:Choice Requires="a14">
        <xdr:graphicFrame macro="">
          <xdr:nvGraphicFramePr>
            <xdr:cNvPr id="17" name="Case_Status">
              <a:extLst>
                <a:ext uri="{FF2B5EF4-FFF2-40B4-BE49-F238E27FC236}">
                  <a16:creationId xmlns:a16="http://schemas.microsoft.com/office/drawing/2014/main" id="{D050396D-EF16-4569-ABEE-89BC7BF65CC5}"/>
                </a:ext>
              </a:extLst>
            </xdr:cNvPr>
            <xdr:cNvGraphicFramePr/>
          </xdr:nvGraphicFramePr>
          <xdr:xfrm>
            <a:off x="0" y="0"/>
            <a:ext cx="0" cy="0"/>
          </xdr:xfrm>
          <a:graphic>
            <a:graphicData uri="http://schemas.microsoft.com/office/drawing/2010/slicer">
              <sle:slicer xmlns:sle="http://schemas.microsoft.com/office/drawing/2010/slicer" name="Case_Status"/>
            </a:graphicData>
          </a:graphic>
        </xdr:graphicFrame>
      </mc:Choice>
      <mc:Fallback xmlns="">
        <xdr:sp macro="" textlink="">
          <xdr:nvSpPr>
            <xdr:cNvPr id="0" name=""/>
            <xdr:cNvSpPr>
              <a:spLocks noTextEdit="1"/>
            </xdr:cNvSpPr>
          </xdr:nvSpPr>
          <xdr:spPr>
            <a:xfrm>
              <a:off x="43266210" y="21911797"/>
              <a:ext cx="3833826" cy="22783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71</xdr:col>
      <xdr:colOff>561961</xdr:colOff>
      <xdr:row>107</xdr:row>
      <xdr:rowOff>15948</xdr:rowOff>
    </xdr:from>
    <xdr:to>
      <xdr:col>78</xdr:col>
      <xdr:colOff>101449</xdr:colOff>
      <xdr:row>116</xdr:row>
      <xdr:rowOff>144584</xdr:rowOff>
    </xdr:to>
    <mc:AlternateContent xmlns:mc="http://schemas.openxmlformats.org/markup-compatibility/2006" xmlns:a14="http://schemas.microsoft.com/office/drawing/2010/main">
      <mc:Choice Requires="a14">
        <xdr:graphicFrame macro="">
          <xdr:nvGraphicFramePr>
            <xdr:cNvPr id="18" name="Time_Period">
              <a:extLst>
                <a:ext uri="{FF2B5EF4-FFF2-40B4-BE49-F238E27FC236}">
                  <a16:creationId xmlns:a16="http://schemas.microsoft.com/office/drawing/2014/main" id="{74C511D8-33AF-4BA1-93A6-8335D5573B63}"/>
                </a:ext>
              </a:extLst>
            </xdr:cNvPr>
            <xdr:cNvGraphicFramePr/>
          </xdr:nvGraphicFramePr>
          <xdr:xfrm>
            <a:off x="0" y="0"/>
            <a:ext cx="0" cy="0"/>
          </xdr:xfrm>
          <a:graphic>
            <a:graphicData uri="http://schemas.microsoft.com/office/drawing/2010/slicer">
              <sle:slicer xmlns:sle="http://schemas.microsoft.com/office/drawing/2010/slicer" name="Time_Period"/>
            </a:graphicData>
          </a:graphic>
        </xdr:graphicFrame>
      </mc:Choice>
      <mc:Fallback xmlns="">
        <xdr:sp macro="" textlink="">
          <xdr:nvSpPr>
            <xdr:cNvPr id="0" name=""/>
            <xdr:cNvSpPr>
              <a:spLocks noTextEdit="1"/>
            </xdr:cNvSpPr>
          </xdr:nvSpPr>
          <xdr:spPr>
            <a:xfrm>
              <a:off x="43274066" y="19467001"/>
              <a:ext cx="3791571" cy="22406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6</xdr:col>
      <xdr:colOff>34925</xdr:colOff>
      <xdr:row>9</xdr:row>
      <xdr:rowOff>66677</xdr:rowOff>
    </xdr:from>
    <xdr:ext cx="46447075" cy="2066923"/>
    <xdr:sp macro="" textlink="">
      <xdr:nvSpPr>
        <xdr:cNvPr id="19" name="TextBox 18">
          <a:extLst>
            <a:ext uri="{FF2B5EF4-FFF2-40B4-BE49-F238E27FC236}">
              <a16:creationId xmlns:a16="http://schemas.microsoft.com/office/drawing/2014/main" id="{8C986A17-FD30-6C66-F1E5-1F7A98B648E0}"/>
            </a:ext>
          </a:extLst>
        </xdr:cNvPr>
        <xdr:cNvSpPr txBox="1"/>
      </xdr:nvSpPr>
      <xdr:spPr>
        <a:xfrm>
          <a:off x="3692525" y="1438277"/>
          <a:ext cx="46447075" cy="2066923"/>
        </a:xfrm>
        <a:prstGeom prst="rect">
          <a:avLst/>
        </a:prstGeom>
        <a:solidFill>
          <a:schemeClr val="accent5"/>
        </a:solidFill>
        <a:ln>
          <a:solidFill>
            <a:schemeClr val="accent5">
              <a:lumMod val="40000"/>
              <a:lumOff val="60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rtl="0"/>
          <a:r>
            <a:rPr lang="en-IN" sz="3200">
              <a:solidFill>
                <a:schemeClr val="tx1"/>
              </a:solidFill>
              <a:latin typeface="+mn-lt"/>
              <a:ea typeface="+mn-ea"/>
              <a:cs typeface="+mn-cs"/>
            </a:rPr>
            <a:t>                                                                                                                                                                     </a:t>
          </a:r>
          <a:r>
            <a:rPr lang="en-IN" sz="9600" b="1">
              <a:solidFill>
                <a:schemeClr val="tx1"/>
              </a:solidFill>
              <a:latin typeface="+mn-lt"/>
              <a:ea typeface="+mn-ea"/>
              <a:cs typeface="+mn-cs"/>
            </a:rPr>
            <a:t>CRIME INTELLIGENCE ANALYTICS </a:t>
          </a:r>
        </a:p>
        <a:p>
          <a:pPr algn="ctr" rtl="0"/>
          <a:r>
            <a:rPr lang="en-IN" sz="4000" b="1">
              <a:solidFill>
                <a:schemeClr val="tx1"/>
              </a:solidFill>
            </a:rPr>
            <a:t>                             </a:t>
          </a:r>
          <a:r>
            <a:rPr lang="en-IN" sz="4000" b="1" baseline="0">
              <a:solidFill>
                <a:schemeClr val="tx1"/>
              </a:solidFill>
            </a:rPr>
            <a:t> </a:t>
          </a:r>
          <a:r>
            <a:rPr lang="en-IN" sz="4000" b="1">
              <a:solidFill>
                <a:schemeClr val="tx1"/>
              </a:solidFill>
            </a:rPr>
            <a:t>Smart City Crime Monitoring Dashboard</a:t>
          </a:r>
          <a:endParaRPr lang="en-IN" sz="4000" b="1">
            <a:solidFill>
              <a:schemeClr val="tx1"/>
            </a:solidFill>
            <a:latin typeface="+mn-lt"/>
            <a:ea typeface="+mn-ea"/>
            <a:cs typeface="+mn-cs"/>
          </a:endParaRPr>
        </a:p>
        <a:p>
          <a:endParaRPr lang="en-IN" sz="1100">
            <a:solidFill>
              <a:schemeClr val="bg2"/>
            </a:solidFill>
          </a:endParaRPr>
        </a:p>
      </xdr:txBody>
    </xdr:sp>
    <xdr:clientData/>
  </xdr:oneCellAnchor>
  <xdr:twoCellAnchor>
    <xdr:from>
      <xdr:col>5</xdr:col>
      <xdr:colOff>531091</xdr:colOff>
      <xdr:row>145</xdr:row>
      <xdr:rowOff>91440</xdr:rowOff>
    </xdr:from>
    <xdr:to>
      <xdr:col>78</xdr:col>
      <xdr:colOff>182880</xdr:colOff>
      <xdr:row>162</xdr:row>
      <xdr:rowOff>121920</xdr:rowOff>
    </xdr:to>
    <xdr:sp macro="" textlink="">
      <xdr:nvSpPr>
        <xdr:cNvPr id="20" name="TextBox 19">
          <a:extLst>
            <a:ext uri="{FF2B5EF4-FFF2-40B4-BE49-F238E27FC236}">
              <a16:creationId xmlns:a16="http://schemas.microsoft.com/office/drawing/2014/main" id="{ECB6B825-F05C-2059-3FCA-943F5CD08578}"/>
            </a:ext>
          </a:extLst>
        </xdr:cNvPr>
        <xdr:cNvSpPr txBox="1"/>
      </xdr:nvSpPr>
      <xdr:spPr>
        <a:xfrm>
          <a:off x="3579091" y="24780240"/>
          <a:ext cx="44152589" cy="3139440"/>
        </a:xfrm>
        <a:prstGeom prst="rect">
          <a:avLst/>
        </a:prstGeom>
        <a:solidFill>
          <a:schemeClr val="accent5"/>
        </a:solidFill>
        <a:ln w="9525" cmpd="sng">
          <a:solidFill>
            <a:schemeClr val="accent5">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solidFill>
                <a:schemeClr val="bg1"/>
              </a:solidFill>
            </a:rPr>
            <a:t>                                              </a:t>
          </a:r>
        </a:p>
        <a:p>
          <a:endParaRPr lang="en-IN" sz="1600">
            <a:solidFill>
              <a:schemeClr val="bg1"/>
            </a:solidFill>
          </a:endParaRPr>
        </a:p>
        <a:p>
          <a:pPr algn="ctr"/>
          <a:r>
            <a:rPr lang="en-IN" sz="6600">
              <a:solidFill>
                <a:schemeClr val="bg1"/>
              </a:solidFill>
            </a:rPr>
            <a:t>                            </a:t>
          </a:r>
          <a:r>
            <a:rPr lang="en-IN" sz="6600" b="1">
              <a:solidFill>
                <a:schemeClr val="tx1"/>
              </a:solidFill>
            </a:rPr>
            <a:t>SMART CITY ANALYTICS | CRIME MODULE | INTERACTIVE DASHBOARD</a:t>
          </a:r>
        </a:p>
      </xdr:txBody>
    </xdr:sp>
    <xdr:clientData/>
  </xdr:twoCellAnchor>
  <xdr:twoCellAnchor>
    <xdr:from>
      <xdr:col>71</xdr:col>
      <xdr:colOff>521956</xdr:colOff>
      <xdr:row>26</xdr:row>
      <xdr:rowOff>117231</xdr:rowOff>
    </xdr:from>
    <xdr:to>
      <xdr:col>78</xdr:col>
      <xdr:colOff>101805</xdr:colOff>
      <xdr:row>63</xdr:row>
      <xdr:rowOff>4885</xdr:rowOff>
    </xdr:to>
    <xdr:sp macro="" textlink="">
      <xdr:nvSpPr>
        <xdr:cNvPr id="21" name="TextBox 20">
          <a:extLst>
            <a:ext uri="{FF2B5EF4-FFF2-40B4-BE49-F238E27FC236}">
              <a16:creationId xmlns:a16="http://schemas.microsoft.com/office/drawing/2014/main" id="{5EA51B4B-CE11-842A-0C06-43033EC9B151}"/>
            </a:ext>
          </a:extLst>
        </xdr:cNvPr>
        <xdr:cNvSpPr txBox="1"/>
      </xdr:nvSpPr>
      <xdr:spPr>
        <a:xfrm>
          <a:off x="44483494" y="3458308"/>
          <a:ext cx="3682926" cy="7507654"/>
        </a:xfrm>
        <a:prstGeom prst="rect">
          <a:avLst/>
        </a:prstGeom>
        <a:solidFill>
          <a:schemeClr val="tx1">
            <a:lumMod val="95000"/>
            <a:lumOff val="5000"/>
          </a:schemeClr>
        </a:solidFill>
        <a:ln w="9525" cmpd="sng">
          <a:solidFill>
            <a:schemeClr val="bg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800" b="1">
              <a:solidFill>
                <a:schemeClr val="bg1"/>
              </a:solidFill>
            </a:rPr>
            <a:t>             </a:t>
          </a:r>
        </a:p>
        <a:p>
          <a:pPr algn="l"/>
          <a:r>
            <a:rPr lang="en-IN" sz="1800" b="1">
              <a:solidFill>
                <a:schemeClr val="bg1"/>
              </a:solidFill>
            </a:rPr>
            <a:t>          </a:t>
          </a:r>
          <a:r>
            <a:rPr lang="en-IN" sz="4000" b="1" u="none">
              <a:solidFill>
                <a:schemeClr val="bg1"/>
              </a:solidFill>
            </a:rPr>
            <a:t>KEY INSIGHTS</a:t>
          </a:r>
        </a:p>
        <a:p>
          <a:pPr algn="l"/>
          <a:r>
            <a:rPr lang="en-IN" sz="1800" b="1">
              <a:solidFill>
                <a:schemeClr val="bg1"/>
              </a:solidFill>
            </a:rPr>
            <a:t>          ------------------------------------------</a:t>
          </a:r>
        </a:p>
        <a:p>
          <a:endParaRPr lang="en-IN" sz="2400" b="1">
            <a:solidFill>
              <a:schemeClr val="bg1"/>
            </a:solidFill>
          </a:endParaRPr>
        </a:p>
        <a:p>
          <a:r>
            <a:rPr lang="en-IN" sz="2400" b="0">
              <a:solidFill>
                <a:schemeClr val="bg2"/>
              </a:solidFill>
            </a:rPr>
            <a:t>• Total reported cases: 500</a:t>
          </a:r>
        </a:p>
        <a:p>
          <a:endParaRPr lang="en-IN" sz="2400" b="0">
            <a:solidFill>
              <a:schemeClr val="bg2"/>
            </a:solidFill>
          </a:endParaRPr>
        </a:p>
        <a:p>
          <a:r>
            <a:rPr lang="en-IN" sz="2400" b="0">
              <a:solidFill>
                <a:schemeClr val="bg2"/>
              </a:solidFill>
            </a:rPr>
            <a:t>• High/Critical cases: 61 (12.2%)</a:t>
          </a:r>
        </a:p>
        <a:p>
          <a:endParaRPr lang="en-IN" sz="2400" b="0">
            <a:solidFill>
              <a:schemeClr val="bg2"/>
            </a:solidFill>
          </a:endParaRPr>
        </a:p>
        <a:p>
          <a:r>
            <a:rPr lang="en-IN" sz="2400" b="0">
              <a:solidFill>
                <a:schemeClr val="bg2"/>
              </a:solidFill>
            </a:rPr>
            <a:t>• Open cases: 55</a:t>
          </a:r>
        </a:p>
        <a:p>
          <a:endParaRPr lang="en-IN" sz="2400" b="0">
            <a:solidFill>
              <a:schemeClr val="bg2"/>
            </a:solidFill>
          </a:endParaRPr>
        </a:p>
        <a:p>
          <a:r>
            <a:rPr lang="en-IN" sz="2400" b="0">
              <a:solidFill>
                <a:schemeClr val="bg2"/>
              </a:solidFill>
            </a:rPr>
            <a:t>• Closed cases: 80</a:t>
          </a:r>
        </a:p>
        <a:p>
          <a:endParaRPr lang="en-IN" sz="2400" b="0">
            <a:solidFill>
              <a:schemeClr val="bg2"/>
            </a:solidFill>
          </a:endParaRPr>
        </a:p>
        <a:p>
          <a:r>
            <a:rPr lang="en-IN" sz="2400" b="0">
              <a:solidFill>
                <a:schemeClr val="bg2"/>
              </a:solidFill>
            </a:rPr>
            <a:t>• Average victim age: 47.41 years</a:t>
          </a:r>
        </a:p>
        <a:p>
          <a:endParaRPr lang="en-IN" sz="1800" b="1">
            <a:solidFill>
              <a:schemeClr val="bg1"/>
            </a:solidFill>
          </a:endParaRPr>
        </a:p>
      </xdr:txBody>
    </xdr:sp>
    <xdr:clientData/>
  </xdr:twoCellAnchor>
  <xdr:twoCellAnchor>
    <xdr:from>
      <xdr:col>6</xdr:col>
      <xdr:colOff>50801</xdr:colOff>
      <xdr:row>27</xdr:row>
      <xdr:rowOff>33867</xdr:rowOff>
    </xdr:from>
    <xdr:to>
      <xdr:col>15</xdr:col>
      <xdr:colOff>601134</xdr:colOff>
      <xdr:row>37</xdr:row>
      <xdr:rowOff>143933</xdr:rowOff>
    </xdr:to>
    <xdr:sp macro="" textlink="">
      <xdr:nvSpPr>
        <xdr:cNvPr id="25" name="Rectangle 24">
          <a:extLst>
            <a:ext uri="{FF2B5EF4-FFF2-40B4-BE49-F238E27FC236}">
              <a16:creationId xmlns:a16="http://schemas.microsoft.com/office/drawing/2014/main" id="{2D6C29E8-224A-49EC-3756-057FD2F95EB3}"/>
            </a:ext>
          </a:extLst>
        </xdr:cNvPr>
        <xdr:cNvSpPr/>
      </xdr:nvSpPr>
      <xdr:spPr>
        <a:xfrm>
          <a:off x="3708401" y="5063067"/>
          <a:ext cx="8339666" cy="1972733"/>
        </a:xfrm>
        <a:prstGeom prst="rect">
          <a:avLst/>
        </a:prstGeom>
        <a:solidFill>
          <a:schemeClr val="accent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7200" b="1">
              <a:solidFill>
                <a:schemeClr val="tx1"/>
              </a:solidFill>
            </a:rPr>
            <a:t>      TOTAL CASES</a:t>
          </a:r>
        </a:p>
      </xdr:txBody>
    </xdr:sp>
    <xdr:clientData/>
  </xdr:twoCellAnchor>
  <xdr:twoCellAnchor>
    <xdr:from>
      <xdr:col>17</xdr:col>
      <xdr:colOff>0</xdr:colOff>
      <xdr:row>27</xdr:row>
      <xdr:rowOff>0</xdr:rowOff>
    </xdr:from>
    <xdr:to>
      <xdr:col>28</xdr:col>
      <xdr:colOff>0</xdr:colOff>
      <xdr:row>38</xdr:row>
      <xdr:rowOff>76200</xdr:rowOff>
    </xdr:to>
    <xdr:sp macro="" textlink="">
      <xdr:nvSpPr>
        <xdr:cNvPr id="26" name="Rectangle 25">
          <a:extLst>
            <a:ext uri="{FF2B5EF4-FFF2-40B4-BE49-F238E27FC236}">
              <a16:creationId xmlns:a16="http://schemas.microsoft.com/office/drawing/2014/main" id="{FCDF67D6-7207-4309-8D6D-D263E1D734BD}"/>
            </a:ext>
          </a:extLst>
        </xdr:cNvPr>
        <xdr:cNvSpPr/>
      </xdr:nvSpPr>
      <xdr:spPr>
        <a:xfrm>
          <a:off x="12403667" y="3386667"/>
          <a:ext cx="6519333" cy="1769533"/>
        </a:xfrm>
        <a:prstGeom prst="rect">
          <a:avLst/>
        </a:prstGeom>
        <a:solidFill>
          <a:schemeClr val="accent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7200" b="1">
              <a:solidFill>
                <a:schemeClr val="tx1"/>
              </a:solidFill>
            </a:rPr>
            <a:t> HIGH/CRITICAL</a:t>
          </a:r>
        </a:p>
      </xdr:txBody>
    </xdr:sp>
    <xdr:clientData/>
  </xdr:twoCellAnchor>
  <xdr:twoCellAnchor>
    <xdr:from>
      <xdr:col>28</xdr:col>
      <xdr:colOff>571500</xdr:colOff>
      <xdr:row>26</xdr:row>
      <xdr:rowOff>127000</xdr:rowOff>
    </xdr:from>
    <xdr:to>
      <xdr:col>41</xdr:col>
      <xdr:colOff>44450</xdr:colOff>
      <xdr:row>38</xdr:row>
      <xdr:rowOff>127000</xdr:rowOff>
    </xdr:to>
    <xdr:sp macro="" textlink="">
      <xdr:nvSpPr>
        <xdr:cNvPr id="27" name="Rectangle 26">
          <a:extLst>
            <a:ext uri="{FF2B5EF4-FFF2-40B4-BE49-F238E27FC236}">
              <a16:creationId xmlns:a16="http://schemas.microsoft.com/office/drawing/2014/main" id="{D8750C84-9289-4E65-B38F-7E43E7087FC6}"/>
            </a:ext>
          </a:extLst>
        </xdr:cNvPr>
        <xdr:cNvSpPr/>
      </xdr:nvSpPr>
      <xdr:spPr>
        <a:xfrm>
          <a:off x="19748500" y="5080000"/>
          <a:ext cx="7315200" cy="2286000"/>
        </a:xfrm>
        <a:prstGeom prst="rect">
          <a:avLst/>
        </a:prstGeom>
        <a:solidFill>
          <a:schemeClr val="accent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7200" b="1">
              <a:solidFill>
                <a:schemeClr val="tx1"/>
              </a:solidFill>
            </a:rPr>
            <a:t>OPEN CASES</a:t>
          </a:r>
        </a:p>
      </xdr:txBody>
    </xdr:sp>
    <xdr:clientData/>
  </xdr:twoCellAnchor>
  <xdr:twoCellAnchor>
    <xdr:from>
      <xdr:col>42</xdr:col>
      <xdr:colOff>0</xdr:colOff>
      <xdr:row>27</xdr:row>
      <xdr:rowOff>0</xdr:rowOff>
    </xdr:from>
    <xdr:to>
      <xdr:col>55</xdr:col>
      <xdr:colOff>31750</xdr:colOff>
      <xdr:row>38</xdr:row>
      <xdr:rowOff>76200</xdr:rowOff>
    </xdr:to>
    <xdr:sp macro="" textlink="">
      <xdr:nvSpPr>
        <xdr:cNvPr id="28" name="Rectangle 27">
          <a:extLst>
            <a:ext uri="{FF2B5EF4-FFF2-40B4-BE49-F238E27FC236}">
              <a16:creationId xmlns:a16="http://schemas.microsoft.com/office/drawing/2014/main" id="{ACFE3D8F-97A8-43AF-B384-3A7474CF962F}"/>
            </a:ext>
          </a:extLst>
        </xdr:cNvPr>
        <xdr:cNvSpPr/>
      </xdr:nvSpPr>
      <xdr:spPr>
        <a:xfrm>
          <a:off x="27622500" y="5143500"/>
          <a:ext cx="7874000" cy="2171700"/>
        </a:xfrm>
        <a:prstGeom prst="rect">
          <a:avLst/>
        </a:prstGeom>
        <a:solidFill>
          <a:schemeClr val="accent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7200" b="1">
              <a:solidFill>
                <a:schemeClr val="tx1"/>
              </a:solidFill>
            </a:rPr>
            <a:t>     CLOSED CASES</a:t>
          </a:r>
        </a:p>
      </xdr:txBody>
    </xdr:sp>
    <xdr:clientData/>
  </xdr:twoCellAnchor>
  <xdr:twoCellAnchor>
    <xdr:from>
      <xdr:col>55</xdr:col>
      <xdr:colOff>571500</xdr:colOff>
      <xdr:row>27</xdr:row>
      <xdr:rowOff>0</xdr:rowOff>
    </xdr:from>
    <xdr:to>
      <xdr:col>70</xdr:col>
      <xdr:colOff>457200</xdr:colOff>
      <xdr:row>39</xdr:row>
      <xdr:rowOff>0</xdr:rowOff>
    </xdr:to>
    <xdr:sp macro="" textlink="">
      <xdr:nvSpPr>
        <xdr:cNvPr id="29" name="Rectangle 28">
          <a:extLst>
            <a:ext uri="{FF2B5EF4-FFF2-40B4-BE49-F238E27FC236}">
              <a16:creationId xmlns:a16="http://schemas.microsoft.com/office/drawing/2014/main" id="{36B72549-B3A7-4BCF-A201-EE442F03330A}"/>
            </a:ext>
          </a:extLst>
        </xdr:cNvPr>
        <xdr:cNvSpPr/>
      </xdr:nvSpPr>
      <xdr:spPr>
        <a:xfrm>
          <a:off x="36036250" y="5143500"/>
          <a:ext cx="8934450" cy="2286000"/>
        </a:xfrm>
        <a:prstGeom prst="rect">
          <a:avLst/>
        </a:prstGeom>
        <a:solidFill>
          <a:schemeClr val="accent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7200" b="1">
              <a:solidFill>
                <a:schemeClr val="tx1"/>
              </a:solidFill>
            </a:rPr>
            <a:t>AVERAGE VICTIM AGE</a:t>
          </a:r>
        </a:p>
      </xdr:txBody>
    </xdr:sp>
    <xdr:clientData/>
  </xdr:twoCellAnchor>
  <xdr:twoCellAnchor>
    <xdr:from>
      <xdr:col>4</xdr:col>
      <xdr:colOff>0</xdr:colOff>
      <xdr:row>4</xdr:row>
      <xdr:rowOff>76200</xdr:rowOff>
    </xdr:from>
    <xdr:to>
      <xdr:col>80</xdr:col>
      <xdr:colOff>228600</xdr:colOff>
      <xdr:row>172</xdr:row>
      <xdr:rowOff>107400</xdr:rowOff>
    </xdr:to>
    <xdr:sp macro="" textlink="">
      <xdr:nvSpPr>
        <xdr:cNvPr id="35" name="Rectangle 34">
          <a:extLst>
            <a:ext uri="{FF2B5EF4-FFF2-40B4-BE49-F238E27FC236}">
              <a16:creationId xmlns:a16="http://schemas.microsoft.com/office/drawing/2014/main" id="{FA3E198D-D36E-6EB9-CD03-EEB255D4D7F7}"/>
            </a:ext>
          </a:extLst>
        </xdr:cNvPr>
        <xdr:cNvSpPr/>
      </xdr:nvSpPr>
      <xdr:spPr>
        <a:xfrm>
          <a:off x="2438400" y="685800"/>
          <a:ext cx="48920400" cy="2624400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5400"/>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shit Mishra" refreshedDate="46300.633795138892" createdVersion="8" refreshedVersion="8" minRefreshableVersion="3" recordCount="500" xr:uid="{06B04514-AE8C-41B4-B1C8-D96FC66E9F82}">
  <cacheSource type="worksheet">
    <worksheetSource name="CrimeTable"/>
  </cacheSource>
  <cacheFields count="15">
    <cacheField name="Timestamp" numFmtId="164">
      <sharedItems containsSemiMixedTypes="0" containsNonDate="0" containsDate="1" containsString="0" minDate="2026-10-01T03:32:46" maxDate="2026-10-30T23:41:33"/>
    </cacheField>
    <cacheField name="Location" numFmtId="0">
      <sharedItems count="8">
        <s v="Connaught Place"/>
        <s v="AIIMS Crossing"/>
        <s v="Rajiv Chowk Metro Area"/>
        <s v="NH8 (near Airport)"/>
        <s v="Outer Ring Road (IIT Delhi)"/>
        <s v="India Gate Circle"/>
        <s v="DND Flyway"/>
        <s v="Chandni Chowk"/>
      </sharedItems>
    </cacheField>
    <cacheField name="Latitude" numFmtId="0">
      <sharedItems containsSemiMixedTypes="0" containsString="0" containsNumber="1" minValue="28.545300000000001" maxValue="28.656199999999998"/>
    </cacheField>
    <cacheField name="Longitude" numFmtId="0">
      <sharedItems containsSemiMixedTypes="0" containsString="0" containsNumber="1" minValue="77.099999999999994" maxValue="77.281300000000002"/>
    </cacheField>
    <cacheField name="Police_Station" numFmtId="0">
      <sharedItems/>
    </cacheField>
    <cacheField name="Crime_Type" numFmtId="0">
      <sharedItems count="9">
        <s v="Vehicle Theft"/>
        <s v="Theft"/>
        <s v="Assault"/>
        <s v="Drug-related"/>
        <s v="Robbery"/>
        <s v="Pickpocketing"/>
        <s v="Vandalism"/>
        <s v="Burglary"/>
        <s v="Cyber Fraud"/>
      </sharedItems>
    </cacheField>
    <cacheField name="Severity" numFmtId="0">
      <sharedItems count="4">
        <s v="Medium"/>
        <s v="Critical"/>
        <s v="Low"/>
        <s v="High"/>
      </sharedItems>
    </cacheField>
    <cacheField name="Case_Status" numFmtId="0">
      <sharedItems count="4">
        <s v="Open"/>
        <s v="Closed"/>
        <s v="Investigating"/>
        <s v="Under Trial"/>
      </sharedItems>
    </cacheField>
    <cacheField name="Weapon_or_Method" numFmtId="0">
      <sharedItems/>
    </cacheField>
    <cacheField name="Victim_Age" numFmtId="0">
      <sharedItems containsSemiMixedTypes="0" containsString="0" containsNumber="1" containsInteger="1" minValue="18" maxValue="75"/>
    </cacheField>
    <cacheField name="Victim_Gender" numFmtId="0">
      <sharedItems/>
    </cacheField>
    <cacheField name="Date" numFmtId="165">
      <sharedItems containsSemiMixedTypes="0" containsNonDate="0" containsDate="1" containsString="0" minDate="2026-10-01T00:00:00" maxDate="2026-10-31T00:00:00" count="30">
        <d v="2026-10-30T00:00:00"/>
        <d v="2026-10-29T00:00:00"/>
        <d v="2026-10-28T00:00:00"/>
        <d v="2026-10-27T00:00:00"/>
        <d v="2026-10-26T00:00:00"/>
        <d v="2026-10-25T00:00:00"/>
        <d v="2026-10-24T00:00:00"/>
        <d v="2026-10-23T00:00:00"/>
        <d v="2026-10-22T00:00:00"/>
        <d v="2026-10-21T00:00:00"/>
        <d v="2026-10-20T00:00:00"/>
        <d v="2026-10-19T00:00:00"/>
        <d v="2026-10-18T00:00:00"/>
        <d v="2026-10-17T00:00:00"/>
        <d v="2026-10-16T00:00:00"/>
        <d v="2026-10-15T00:00:00"/>
        <d v="2026-10-14T00:00:00"/>
        <d v="2026-10-13T00:00:00"/>
        <d v="2026-10-12T00:00:00"/>
        <d v="2026-10-11T00:00:00"/>
        <d v="2026-10-10T00:00:00"/>
        <d v="2026-10-09T00:00:00"/>
        <d v="2026-10-08T00:00:00"/>
        <d v="2026-10-07T00:00:00"/>
        <d v="2026-10-06T00:00:00"/>
        <d v="2026-10-05T00:00:00"/>
        <d v="2026-10-04T00:00:00"/>
        <d v="2026-10-03T00:00:00"/>
        <d v="2026-10-02T00:00:00"/>
        <d v="2026-10-01T00:00:00"/>
      </sharedItems>
    </cacheField>
    <cacheField name="Hour" numFmtId="0">
      <sharedItems containsSemiMixedTypes="0" containsString="0" containsNumber="1" containsInteger="1" minValue="0" maxValue="23"/>
    </cacheField>
    <cacheField name="Day" numFmtId="0">
      <sharedItems/>
    </cacheField>
    <cacheField name="Time_Period" numFmtId="0">
      <sharedItems count="4">
        <s v="Night"/>
        <s v="Evening"/>
        <s v="Afternoon"/>
        <s v="Morning"/>
      </sharedItems>
    </cacheField>
  </cacheFields>
  <extLst>
    <ext xmlns:x14="http://schemas.microsoft.com/office/spreadsheetml/2009/9/main" uri="{725AE2AE-9491-48be-B2B4-4EB974FC3084}">
      <x14:pivotCacheDefinition pivotCacheId="4703195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d v="2026-10-30T23:41:33"/>
    <x v="0"/>
    <n v="28.632999999999999"/>
    <n v="77.2196"/>
    <s v="Connaught Place PS"/>
    <x v="0"/>
    <x v="0"/>
    <x v="0"/>
    <s v="None"/>
    <n v="48"/>
    <s v="Female"/>
    <x v="0"/>
    <n v="23"/>
    <s v="Friday"/>
    <x v="0"/>
  </r>
  <r>
    <d v="2026-10-30T20:35:44"/>
    <x v="1"/>
    <n v="28.567599999999999"/>
    <n v="77.209599999999995"/>
    <s v="Hauz Khas PS"/>
    <x v="1"/>
    <x v="0"/>
    <x v="1"/>
    <s v="None"/>
    <n v="24"/>
    <s v="Female"/>
    <x v="0"/>
    <n v="20"/>
    <s v="Friday"/>
    <x v="1"/>
  </r>
  <r>
    <d v="2026-10-30T19:54:31"/>
    <x v="2"/>
    <n v="28.6328"/>
    <n v="77.219499999999996"/>
    <s v="Connaught Place PS"/>
    <x v="2"/>
    <x v="1"/>
    <x v="2"/>
    <s v="Blunt Object"/>
    <n v="26"/>
    <s v="Male"/>
    <x v="0"/>
    <n v="19"/>
    <s v="Friday"/>
    <x v="1"/>
  </r>
  <r>
    <d v="2026-10-30T19:52:31"/>
    <x v="0"/>
    <n v="28.632999999999999"/>
    <n v="77.2196"/>
    <s v="Connaught Place PS"/>
    <x v="3"/>
    <x v="0"/>
    <x v="2"/>
    <s v="Firearm"/>
    <n v="65"/>
    <s v="Male"/>
    <x v="0"/>
    <n v="19"/>
    <s v="Friday"/>
    <x v="1"/>
  </r>
  <r>
    <d v="2026-10-30T19:11:09"/>
    <x v="3"/>
    <n v="28.5562"/>
    <n v="77.099999999999994"/>
    <s v="IGI Airport PS"/>
    <x v="1"/>
    <x v="0"/>
    <x v="2"/>
    <s v="None"/>
    <n v="57"/>
    <s v="Other"/>
    <x v="0"/>
    <n v="19"/>
    <s v="Friday"/>
    <x v="1"/>
  </r>
  <r>
    <d v="2026-10-30T18:49:05"/>
    <x v="4"/>
    <n v="28.545300000000001"/>
    <n v="77.192499999999995"/>
    <s v="Vasant Kunj North PS"/>
    <x v="0"/>
    <x v="0"/>
    <x v="1"/>
    <s v="None"/>
    <n v="44"/>
    <s v="Female"/>
    <x v="0"/>
    <n v="18"/>
    <s v="Friday"/>
    <x v="1"/>
  </r>
  <r>
    <d v="2026-10-30T18:03:54"/>
    <x v="5"/>
    <n v="28.6129"/>
    <n v="77.229500000000002"/>
    <s v="Tilak Marg PS"/>
    <x v="4"/>
    <x v="2"/>
    <x v="2"/>
    <s v="Firearm"/>
    <n v="53"/>
    <s v="Female"/>
    <x v="0"/>
    <n v="18"/>
    <s v="Friday"/>
    <x v="1"/>
  </r>
  <r>
    <d v="2026-10-30T17:59:23"/>
    <x v="6"/>
    <n v="28.571400000000001"/>
    <n v="77.281300000000002"/>
    <s v="Sunlight Colony PS"/>
    <x v="5"/>
    <x v="2"/>
    <x v="0"/>
    <s v="None"/>
    <n v="37"/>
    <s v="Male"/>
    <x v="0"/>
    <n v="17"/>
    <s v="Friday"/>
    <x v="1"/>
  </r>
  <r>
    <d v="2026-10-30T17:52:53"/>
    <x v="5"/>
    <n v="28.6129"/>
    <n v="77.229500000000002"/>
    <s v="Tilak Marg PS"/>
    <x v="1"/>
    <x v="0"/>
    <x v="2"/>
    <s v="None"/>
    <n v="42"/>
    <s v="Male"/>
    <x v="0"/>
    <n v="17"/>
    <s v="Friday"/>
    <x v="1"/>
  </r>
  <r>
    <d v="2026-10-30T17:50:55"/>
    <x v="1"/>
    <n v="28.567599999999999"/>
    <n v="77.209599999999995"/>
    <s v="Hauz Khas PS"/>
    <x v="2"/>
    <x v="0"/>
    <x v="1"/>
    <s v="Unknown"/>
    <n v="26"/>
    <s v="Other"/>
    <x v="0"/>
    <n v="17"/>
    <s v="Friday"/>
    <x v="1"/>
  </r>
  <r>
    <d v="2026-10-30T17:44:41"/>
    <x v="0"/>
    <n v="28.632999999999999"/>
    <n v="77.2196"/>
    <s v="Connaught Place PS"/>
    <x v="1"/>
    <x v="0"/>
    <x v="2"/>
    <s v="None"/>
    <n v="73"/>
    <s v="Male"/>
    <x v="0"/>
    <n v="17"/>
    <s v="Friday"/>
    <x v="1"/>
  </r>
  <r>
    <d v="2026-10-30T13:58:19"/>
    <x v="1"/>
    <n v="28.567599999999999"/>
    <n v="77.209599999999995"/>
    <s v="Hauz Khas PS"/>
    <x v="1"/>
    <x v="3"/>
    <x v="2"/>
    <s v="None"/>
    <n v="59"/>
    <s v="Female"/>
    <x v="0"/>
    <n v="13"/>
    <s v="Friday"/>
    <x v="2"/>
  </r>
  <r>
    <d v="2026-10-30T13:55:21"/>
    <x v="5"/>
    <n v="28.6129"/>
    <n v="77.229500000000002"/>
    <s v="Tilak Marg PS"/>
    <x v="6"/>
    <x v="2"/>
    <x v="2"/>
    <s v="Firearm"/>
    <n v="62"/>
    <s v="Male"/>
    <x v="0"/>
    <n v="13"/>
    <s v="Friday"/>
    <x v="2"/>
  </r>
  <r>
    <d v="2026-10-30T13:50:44"/>
    <x v="2"/>
    <n v="28.6328"/>
    <n v="77.219499999999996"/>
    <s v="Connaught Place PS"/>
    <x v="7"/>
    <x v="0"/>
    <x v="1"/>
    <s v="None"/>
    <n v="66"/>
    <s v="Male"/>
    <x v="0"/>
    <n v="13"/>
    <s v="Friday"/>
    <x v="2"/>
  </r>
  <r>
    <d v="2026-10-30T13:47:05"/>
    <x v="3"/>
    <n v="28.5562"/>
    <n v="77.099999999999994"/>
    <s v="IGI Airport PS"/>
    <x v="6"/>
    <x v="3"/>
    <x v="1"/>
    <s v="Firearm"/>
    <n v="38"/>
    <s v="Other"/>
    <x v="0"/>
    <n v="13"/>
    <s v="Friday"/>
    <x v="2"/>
  </r>
  <r>
    <d v="2026-10-30T12:06:16"/>
    <x v="7"/>
    <n v="28.656199999999998"/>
    <n v="77.231499999999997"/>
    <s v="Kotwali PS"/>
    <x v="5"/>
    <x v="2"/>
    <x v="2"/>
    <s v="None"/>
    <n v="36"/>
    <s v="Other"/>
    <x v="0"/>
    <n v="12"/>
    <s v="Friday"/>
    <x v="2"/>
  </r>
  <r>
    <d v="2026-10-30T11:49:04"/>
    <x v="6"/>
    <n v="28.571400000000001"/>
    <n v="77.281300000000002"/>
    <s v="Sunlight Colony PS"/>
    <x v="4"/>
    <x v="0"/>
    <x v="1"/>
    <s v="Knife"/>
    <n v="47"/>
    <s v="Female"/>
    <x v="0"/>
    <n v="11"/>
    <s v="Friday"/>
    <x v="3"/>
  </r>
  <r>
    <d v="2026-10-30T11:23:09"/>
    <x v="2"/>
    <n v="28.6328"/>
    <n v="77.219499999999996"/>
    <s v="Connaught Place PS"/>
    <x v="8"/>
    <x v="3"/>
    <x v="0"/>
    <s v="None"/>
    <n v="28"/>
    <s v="Female"/>
    <x v="0"/>
    <n v="11"/>
    <s v="Friday"/>
    <x v="3"/>
  </r>
  <r>
    <d v="2026-10-30T08:08:55"/>
    <x v="5"/>
    <n v="28.6129"/>
    <n v="77.229500000000002"/>
    <s v="Tilak Marg PS"/>
    <x v="3"/>
    <x v="2"/>
    <x v="1"/>
    <s v="Firearm"/>
    <n v="47"/>
    <s v="Other"/>
    <x v="0"/>
    <n v="8"/>
    <s v="Friday"/>
    <x v="3"/>
  </r>
  <r>
    <d v="2026-10-30T06:02:17"/>
    <x v="6"/>
    <n v="28.571400000000001"/>
    <n v="77.281300000000002"/>
    <s v="Sunlight Colony PS"/>
    <x v="2"/>
    <x v="3"/>
    <x v="2"/>
    <s v="Blunt Object"/>
    <n v="31"/>
    <s v="Female"/>
    <x v="0"/>
    <n v="6"/>
    <s v="Friday"/>
    <x v="3"/>
  </r>
  <r>
    <d v="2026-10-30T03:03:44"/>
    <x v="6"/>
    <n v="28.571400000000001"/>
    <n v="77.281300000000002"/>
    <s v="Sunlight Colony PS"/>
    <x v="7"/>
    <x v="3"/>
    <x v="1"/>
    <s v="None"/>
    <n v="32"/>
    <s v="Male"/>
    <x v="0"/>
    <n v="3"/>
    <s v="Friday"/>
    <x v="0"/>
  </r>
  <r>
    <d v="2026-10-30T02:04:46"/>
    <x v="5"/>
    <n v="28.6129"/>
    <n v="77.229500000000002"/>
    <s v="Tilak Marg PS"/>
    <x v="8"/>
    <x v="0"/>
    <x v="2"/>
    <s v="None"/>
    <n v="33"/>
    <s v="Other"/>
    <x v="0"/>
    <n v="2"/>
    <s v="Friday"/>
    <x v="0"/>
  </r>
  <r>
    <d v="2026-10-30T01:53:27"/>
    <x v="6"/>
    <n v="28.571400000000001"/>
    <n v="77.281300000000002"/>
    <s v="Sunlight Colony PS"/>
    <x v="5"/>
    <x v="0"/>
    <x v="2"/>
    <s v="None"/>
    <n v="42"/>
    <s v="Female"/>
    <x v="0"/>
    <n v="1"/>
    <s v="Friday"/>
    <x v="0"/>
  </r>
  <r>
    <d v="2026-10-30T00:48:14"/>
    <x v="2"/>
    <n v="28.6328"/>
    <n v="77.219499999999996"/>
    <s v="Connaught Place PS"/>
    <x v="1"/>
    <x v="0"/>
    <x v="1"/>
    <s v="None"/>
    <n v="24"/>
    <s v="Other"/>
    <x v="0"/>
    <n v="0"/>
    <s v="Friday"/>
    <x v="0"/>
  </r>
  <r>
    <d v="2026-10-29T23:29:00"/>
    <x v="0"/>
    <n v="28.632999999999999"/>
    <n v="77.2196"/>
    <s v="Connaught Place PS"/>
    <x v="5"/>
    <x v="2"/>
    <x v="1"/>
    <s v="None"/>
    <n v="59"/>
    <s v="Female"/>
    <x v="1"/>
    <n v="23"/>
    <s v="Thursday"/>
    <x v="0"/>
  </r>
  <r>
    <d v="2026-10-29T22:02:59"/>
    <x v="3"/>
    <n v="28.5562"/>
    <n v="77.099999999999994"/>
    <s v="IGI Airport PS"/>
    <x v="1"/>
    <x v="2"/>
    <x v="2"/>
    <s v="None"/>
    <n v="56"/>
    <s v="Female"/>
    <x v="1"/>
    <n v="22"/>
    <s v="Thursday"/>
    <x v="0"/>
  </r>
  <r>
    <d v="2026-10-29T21:24:42"/>
    <x v="7"/>
    <n v="28.656199999999998"/>
    <n v="77.231499999999997"/>
    <s v="Kotwali PS"/>
    <x v="5"/>
    <x v="3"/>
    <x v="1"/>
    <s v="None"/>
    <n v="43"/>
    <s v="Male"/>
    <x v="1"/>
    <n v="21"/>
    <s v="Thursday"/>
    <x v="0"/>
  </r>
  <r>
    <d v="2026-10-29T21:02:03"/>
    <x v="4"/>
    <n v="28.545300000000001"/>
    <n v="77.192499999999995"/>
    <s v="Vasant Kunj North PS"/>
    <x v="1"/>
    <x v="2"/>
    <x v="1"/>
    <s v="None"/>
    <n v="28"/>
    <s v="Other"/>
    <x v="1"/>
    <n v="21"/>
    <s v="Thursday"/>
    <x v="0"/>
  </r>
  <r>
    <d v="2026-10-29T19:46:19"/>
    <x v="1"/>
    <n v="28.567599999999999"/>
    <n v="77.209599999999995"/>
    <s v="Hauz Khas PS"/>
    <x v="0"/>
    <x v="3"/>
    <x v="1"/>
    <s v="None"/>
    <n v="68"/>
    <s v="Female"/>
    <x v="1"/>
    <n v="19"/>
    <s v="Thursday"/>
    <x v="1"/>
  </r>
  <r>
    <d v="2026-10-29T16:57:51"/>
    <x v="2"/>
    <n v="28.6328"/>
    <n v="77.219499999999996"/>
    <s v="Connaught Place PS"/>
    <x v="7"/>
    <x v="2"/>
    <x v="2"/>
    <s v="Blunt Object"/>
    <n v="48"/>
    <s v="Other"/>
    <x v="1"/>
    <n v="16"/>
    <s v="Thursday"/>
    <x v="2"/>
  </r>
  <r>
    <d v="2026-10-29T15:19:01"/>
    <x v="6"/>
    <n v="28.571400000000001"/>
    <n v="77.281300000000002"/>
    <s v="Sunlight Colony PS"/>
    <x v="4"/>
    <x v="0"/>
    <x v="1"/>
    <s v="Unknown"/>
    <n v="54"/>
    <s v="Male"/>
    <x v="1"/>
    <n v="15"/>
    <s v="Thursday"/>
    <x v="2"/>
  </r>
  <r>
    <d v="2026-10-29T14:34:45"/>
    <x v="6"/>
    <n v="28.571400000000001"/>
    <n v="77.281300000000002"/>
    <s v="Sunlight Colony PS"/>
    <x v="7"/>
    <x v="0"/>
    <x v="1"/>
    <s v="None"/>
    <n v="58"/>
    <s v="Other"/>
    <x v="1"/>
    <n v="14"/>
    <s v="Thursday"/>
    <x v="2"/>
  </r>
  <r>
    <d v="2026-10-29T14:12:06"/>
    <x v="1"/>
    <n v="28.567599999999999"/>
    <n v="77.209599999999995"/>
    <s v="Hauz Khas PS"/>
    <x v="8"/>
    <x v="0"/>
    <x v="2"/>
    <s v="None"/>
    <n v="46"/>
    <s v="Male"/>
    <x v="1"/>
    <n v="14"/>
    <s v="Thursday"/>
    <x v="2"/>
  </r>
  <r>
    <d v="2026-10-29T13:05:20"/>
    <x v="4"/>
    <n v="28.545300000000001"/>
    <n v="77.192499999999995"/>
    <s v="Vasant Kunj North PS"/>
    <x v="1"/>
    <x v="2"/>
    <x v="2"/>
    <s v="None"/>
    <n v="37"/>
    <s v="Female"/>
    <x v="1"/>
    <n v="13"/>
    <s v="Thursday"/>
    <x v="2"/>
  </r>
  <r>
    <d v="2026-10-29T10:59:19"/>
    <x v="5"/>
    <n v="28.6129"/>
    <n v="77.229500000000002"/>
    <s v="Tilak Marg PS"/>
    <x v="6"/>
    <x v="0"/>
    <x v="2"/>
    <s v="Blunt Object"/>
    <n v="66"/>
    <s v="Male"/>
    <x v="1"/>
    <n v="10"/>
    <s v="Thursday"/>
    <x v="3"/>
  </r>
  <r>
    <d v="2026-10-29T01:22:47"/>
    <x v="3"/>
    <n v="28.5562"/>
    <n v="77.099999999999994"/>
    <s v="IGI Airport PS"/>
    <x v="6"/>
    <x v="0"/>
    <x v="2"/>
    <s v="Unknown"/>
    <n v="52"/>
    <s v="Female"/>
    <x v="1"/>
    <n v="1"/>
    <s v="Thursday"/>
    <x v="0"/>
  </r>
  <r>
    <d v="2026-10-29T00:55:43"/>
    <x v="3"/>
    <n v="28.5562"/>
    <n v="77.099999999999994"/>
    <s v="IGI Airport PS"/>
    <x v="2"/>
    <x v="0"/>
    <x v="1"/>
    <s v="Knife"/>
    <n v="66"/>
    <s v="Male"/>
    <x v="1"/>
    <n v="0"/>
    <s v="Thursday"/>
    <x v="0"/>
  </r>
  <r>
    <d v="2026-10-28T23:39:49"/>
    <x v="3"/>
    <n v="28.5562"/>
    <n v="77.099999999999994"/>
    <s v="IGI Airport PS"/>
    <x v="8"/>
    <x v="3"/>
    <x v="2"/>
    <s v="None"/>
    <n v="22"/>
    <s v="Male"/>
    <x v="2"/>
    <n v="23"/>
    <s v="Wednesday"/>
    <x v="0"/>
  </r>
  <r>
    <d v="2026-10-28T20:19:18"/>
    <x v="2"/>
    <n v="28.6328"/>
    <n v="77.219499999999996"/>
    <s v="Connaught Place PS"/>
    <x v="5"/>
    <x v="1"/>
    <x v="2"/>
    <s v="None"/>
    <n v="26"/>
    <s v="Male"/>
    <x v="2"/>
    <n v="20"/>
    <s v="Wednesday"/>
    <x v="1"/>
  </r>
  <r>
    <d v="2026-10-28T18:37:41"/>
    <x v="0"/>
    <n v="28.632999999999999"/>
    <n v="77.2196"/>
    <s v="Connaught Place PS"/>
    <x v="1"/>
    <x v="0"/>
    <x v="2"/>
    <s v="None"/>
    <n v="65"/>
    <s v="Male"/>
    <x v="2"/>
    <n v="18"/>
    <s v="Wednesday"/>
    <x v="1"/>
  </r>
  <r>
    <d v="2026-10-28T18:22:14"/>
    <x v="4"/>
    <n v="28.545300000000001"/>
    <n v="77.192499999999995"/>
    <s v="Vasant Kunj North PS"/>
    <x v="4"/>
    <x v="3"/>
    <x v="2"/>
    <s v="Blunt Object"/>
    <n v="59"/>
    <s v="Female"/>
    <x v="2"/>
    <n v="18"/>
    <s v="Wednesday"/>
    <x v="1"/>
  </r>
  <r>
    <d v="2026-10-28T18:21:30"/>
    <x v="6"/>
    <n v="28.571400000000001"/>
    <n v="77.281300000000002"/>
    <s v="Sunlight Colony PS"/>
    <x v="0"/>
    <x v="0"/>
    <x v="1"/>
    <s v="None"/>
    <n v="32"/>
    <s v="Female"/>
    <x v="2"/>
    <n v="18"/>
    <s v="Wednesday"/>
    <x v="1"/>
  </r>
  <r>
    <d v="2026-10-28T17:52:47"/>
    <x v="0"/>
    <n v="28.632999999999999"/>
    <n v="77.2196"/>
    <s v="Connaught Place PS"/>
    <x v="1"/>
    <x v="0"/>
    <x v="1"/>
    <s v="None"/>
    <n v="34"/>
    <s v="Other"/>
    <x v="2"/>
    <n v="17"/>
    <s v="Wednesday"/>
    <x v="1"/>
  </r>
  <r>
    <d v="2026-10-28T12:55:09"/>
    <x v="0"/>
    <n v="28.632999999999999"/>
    <n v="77.2196"/>
    <s v="Connaught Place PS"/>
    <x v="5"/>
    <x v="3"/>
    <x v="2"/>
    <s v="None"/>
    <n v="66"/>
    <s v="Male"/>
    <x v="2"/>
    <n v="12"/>
    <s v="Wednesday"/>
    <x v="2"/>
  </r>
  <r>
    <d v="2026-10-28T12:47:41"/>
    <x v="3"/>
    <n v="28.5562"/>
    <n v="77.099999999999994"/>
    <s v="IGI Airport PS"/>
    <x v="1"/>
    <x v="0"/>
    <x v="3"/>
    <s v="None"/>
    <n v="44"/>
    <s v="Other"/>
    <x v="2"/>
    <n v="12"/>
    <s v="Wednesday"/>
    <x v="2"/>
  </r>
  <r>
    <d v="2026-10-28T12:27:08"/>
    <x v="2"/>
    <n v="28.6328"/>
    <n v="77.219499999999996"/>
    <s v="Connaught Place PS"/>
    <x v="8"/>
    <x v="2"/>
    <x v="2"/>
    <s v="None"/>
    <n v="41"/>
    <s v="Other"/>
    <x v="2"/>
    <n v="12"/>
    <s v="Wednesday"/>
    <x v="2"/>
  </r>
  <r>
    <d v="2026-10-28T10:52:44"/>
    <x v="4"/>
    <n v="28.545300000000001"/>
    <n v="77.192499999999995"/>
    <s v="Vasant Kunj North PS"/>
    <x v="0"/>
    <x v="0"/>
    <x v="3"/>
    <s v="None"/>
    <n v="38"/>
    <s v="Female"/>
    <x v="2"/>
    <n v="10"/>
    <s v="Wednesday"/>
    <x v="3"/>
  </r>
  <r>
    <d v="2026-10-28T10:03:32"/>
    <x v="2"/>
    <n v="28.6328"/>
    <n v="77.219499999999996"/>
    <s v="Connaught Place PS"/>
    <x v="2"/>
    <x v="2"/>
    <x v="0"/>
    <s v="Blunt Object"/>
    <n v="69"/>
    <s v="Female"/>
    <x v="2"/>
    <n v="10"/>
    <s v="Wednesday"/>
    <x v="3"/>
  </r>
  <r>
    <d v="2026-10-28T06:37:03"/>
    <x v="3"/>
    <n v="28.5562"/>
    <n v="77.099999999999994"/>
    <s v="IGI Airport PS"/>
    <x v="1"/>
    <x v="2"/>
    <x v="2"/>
    <s v="None"/>
    <n v="26"/>
    <s v="Female"/>
    <x v="2"/>
    <n v="6"/>
    <s v="Wednesday"/>
    <x v="3"/>
  </r>
  <r>
    <d v="2026-10-28T06:12:20"/>
    <x v="0"/>
    <n v="28.632999999999999"/>
    <n v="77.2196"/>
    <s v="Connaught Place PS"/>
    <x v="7"/>
    <x v="2"/>
    <x v="2"/>
    <s v="Blunt Object"/>
    <n v="33"/>
    <s v="Male"/>
    <x v="2"/>
    <n v="6"/>
    <s v="Wednesday"/>
    <x v="3"/>
  </r>
  <r>
    <d v="2026-10-28T03:26:04"/>
    <x v="3"/>
    <n v="28.5562"/>
    <n v="77.099999999999994"/>
    <s v="IGI Airport PS"/>
    <x v="2"/>
    <x v="3"/>
    <x v="2"/>
    <s v="Blunt Object"/>
    <n v="53"/>
    <s v="Male"/>
    <x v="2"/>
    <n v="3"/>
    <s v="Wednesday"/>
    <x v="0"/>
  </r>
  <r>
    <d v="2026-10-28T01:57:16"/>
    <x v="1"/>
    <n v="28.567599999999999"/>
    <n v="77.209599999999995"/>
    <s v="Hauz Khas PS"/>
    <x v="0"/>
    <x v="3"/>
    <x v="1"/>
    <s v="None"/>
    <n v="23"/>
    <s v="Female"/>
    <x v="2"/>
    <n v="1"/>
    <s v="Wednesday"/>
    <x v="0"/>
  </r>
  <r>
    <d v="2026-10-28T00:50:39"/>
    <x v="4"/>
    <n v="28.545300000000001"/>
    <n v="77.192499999999995"/>
    <s v="Vasant Kunj North PS"/>
    <x v="8"/>
    <x v="3"/>
    <x v="2"/>
    <s v="None"/>
    <n v="59"/>
    <s v="Male"/>
    <x v="2"/>
    <n v="0"/>
    <s v="Wednesday"/>
    <x v="0"/>
  </r>
  <r>
    <d v="2026-10-28T00:35:39"/>
    <x v="7"/>
    <n v="28.656199999999998"/>
    <n v="77.231499999999997"/>
    <s v="Kotwali PS"/>
    <x v="0"/>
    <x v="2"/>
    <x v="2"/>
    <s v="None"/>
    <n v="43"/>
    <s v="Female"/>
    <x v="2"/>
    <n v="0"/>
    <s v="Wednesday"/>
    <x v="0"/>
  </r>
  <r>
    <d v="2026-10-27T20:58:27"/>
    <x v="5"/>
    <n v="28.6129"/>
    <n v="77.229500000000002"/>
    <s v="Tilak Marg PS"/>
    <x v="1"/>
    <x v="2"/>
    <x v="2"/>
    <s v="None"/>
    <n v="56"/>
    <s v="Male"/>
    <x v="3"/>
    <n v="20"/>
    <s v="Tuesday"/>
    <x v="1"/>
  </r>
  <r>
    <d v="2026-10-27T16:34:35"/>
    <x v="0"/>
    <n v="28.632999999999999"/>
    <n v="77.2196"/>
    <s v="Connaught Place PS"/>
    <x v="4"/>
    <x v="3"/>
    <x v="2"/>
    <s v="Firearm"/>
    <n v="73"/>
    <s v="Other"/>
    <x v="3"/>
    <n v="16"/>
    <s v="Tuesday"/>
    <x v="2"/>
  </r>
  <r>
    <d v="2026-10-27T14:31:27"/>
    <x v="6"/>
    <n v="28.571400000000001"/>
    <n v="77.281300000000002"/>
    <s v="Sunlight Colony PS"/>
    <x v="8"/>
    <x v="0"/>
    <x v="2"/>
    <s v="None"/>
    <n v="26"/>
    <s v="Other"/>
    <x v="3"/>
    <n v="14"/>
    <s v="Tuesday"/>
    <x v="2"/>
  </r>
  <r>
    <d v="2026-10-27T13:21:30"/>
    <x v="0"/>
    <n v="28.632999999999999"/>
    <n v="77.2196"/>
    <s v="Connaught Place PS"/>
    <x v="1"/>
    <x v="0"/>
    <x v="1"/>
    <s v="None"/>
    <n v="71"/>
    <s v="Female"/>
    <x v="3"/>
    <n v="13"/>
    <s v="Tuesday"/>
    <x v="2"/>
  </r>
  <r>
    <d v="2026-10-27T12:57:31"/>
    <x v="2"/>
    <n v="28.6328"/>
    <n v="77.219499999999996"/>
    <s v="Connaught Place PS"/>
    <x v="1"/>
    <x v="0"/>
    <x v="1"/>
    <s v="None"/>
    <n v="47"/>
    <s v="Male"/>
    <x v="3"/>
    <n v="12"/>
    <s v="Tuesday"/>
    <x v="2"/>
  </r>
  <r>
    <d v="2026-10-27T08:20:38"/>
    <x v="2"/>
    <n v="28.6328"/>
    <n v="77.219499999999996"/>
    <s v="Connaught Place PS"/>
    <x v="1"/>
    <x v="2"/>
    <x v="1"/>
    <s v="None"/>
    <n v="54"/>
    <s v="Other"/>
    <x v="3"/>
    <n v="8"/>
    <s v="Tuesday"/>
    <x v="3"/>
  </r>
  <r>
    <d v="2026-10-27T06:37:06"/>
    <x v="5"/>
    <n v="28.6129"/>
    <n v="77.229500000000002"/>
    <s v="Tilak Marg PS"/>
    <x v="6"/>
    <x v="0"/>
    <x v="2"/>
    <s v="Knife"/>
    <n v="47"/>
    <s v="Male"/>
    <x v="3"/>
    <n v="6"/>
    <s v="Tuesday"/>
    <x v="3"/>
  </r>
  <r>
    <d v="2026-10-27T05:15:20"/>
    <x v="2"/>
    <n v="28.6328"/>
    <n v="77.219499999999996"/>
    <s v="Connaught Place PS"/>
    <x v="4"/>
    <x v="3"/>
    <x v="1"/>
    <s v="Knife"/>
    <n v="37"/>
    <s v="Male"/>
    <x v="3"/>
    <n v="5"/>
    <s v="Tuesday"/>
    <x v="0"/>
  </r>
  <r>
    <d v="2026-10-27T05:00:50"/>
    <x v="7"/>
    <n v="28.656199999999998"/>
    <n v="77.231499999999997"/>
    <s v="Kotwali PS"/>
    <x v="0"/>
    <x v="0"/>
    <x v="1"/>
    <s v="None"/>
    <n v="43"/>
    <s v="Female"/>
    <x v="3"/>
    <n v="5"/>
    <s v="Tuesday"/>
    <x v="0"/>
  </r>
  <r>
    <d v="2026-10-27T04:48:24"/>
    <x v="0"/>
    <n v="28.632999999999999"/>
    <n v="77.2196"/>
    <s v="Connaught Place PS"/>
    <x v="7"/>
    <x v="1"/>
    <x v="2"/>
    <s v="Firearm"/>
    <n v="72"/>
    <s v="Female"/>
    <x v="3"/>
    <n v="4"/>
    <s v="Tuesday"/>
    <x v="0"/>
  </r>
  <r>
    <d v="2026-10-27T01:32:34"/>
    <x v="2"/>
    <n v="28.6328"/>
    <n v="77.219499999999996"/>
    <s v="Connaught Place PS"/>
    <x v="1"/>
    <x v="2"/>
    <x v="1"/>
    <s v="None"/>
    <n v="25"/>
    <s v="Other"/>
    <x v="3"/>
    <n v="1"/>
    <s v="Tuesday"/>
    <x v="0"/>
  </r>
  <r>
    <d v="2026-10-27T00:55:26"/>
    <x v="2"/>
    <n v="28.6328"/>
    <n v="77.219499999999996"/>
    <s v="Connaught Place PS"/>
    <x v="4"/>
    <x v="2"/>
    <x v="1"/>
    <s v="Unknown"/>
    <n v="36"/>
    <s v="Other"/>
    <x v="3"/>
    <n v="0"/>
    <s v="Tuesday"/>
    <x v="0"/>
  </r>
  <r>
    <d v="2026-10-27T00:33:24"/>
    <x v="2"/>
    <n v="28.6328"/>
    <n v="77.219499999999996"/>
    <s v="Connaught Place PS"/>
    <x v="0"/>
    <x v="3"/>
    <x v="0"/>
    <s v="None"/>
    <n v="65"/>
    <s v="Female"/>
    <x v="3"/>
    <n v="0"/>
    <s v="Tuesday"/>
    <x v="0"/>
  </r>
  <r>
    <d v="2026-10-26T23:03:28"/>
    <x v="4"/>
    <n v="28.545300000000001"/>
    <n v="77.192499999999995"/>
    <s v="Vasant Kunj North PS"/>
    <x v="7"/>
    <x v="0"/>
    <x v="2"/>
    <s v="Unknown"/>
    <n v="44"/>
    <s v="Male"/>
    <x v="4"/>
    <n v="23"/>
    <s v="Monday"/>
    <x v="0"/>
  </r>
  <r>
    <d v="2026-10-26T19:50:02"/>
    <x v="3"/>
    <n v="28.5562"/>
    <n v="77.099999999999994"/>
    <s v="IGI Airport PS"/>
    <x v="0"/>
    <x v="0"/>
    <x v="1"/>
    <s v="None"/>
    <n v="57"/>
    <s v="Male"/>
    <x v="4"/>
    <n v="19"/>
    <s v="Monday"/>
    <x v="1"/>
  </r>
  <r>
    <d v="2026-10-26T19:42:05"/>
    <x v="2"/>
    <n v="28.6328"/>
    <n v="77.219499999999996"/>
    <s v="Connaught Place PS"/>
    <x v="1"/>
    <x v="0"/>
    <x v="0"/>
    <s v="None"/>
    <n v="66"/>
    <s v="Other"/>
    <x v="4"/>
    <n v="19"/>
    <s v="Monday"/>
    <x v="1"/>
  </r>
  <r>
    <d v="2026-10-26T18:08:50"/>
    <x v="5"/>
    <n v="28.6129"/>
    <n v="77.229500000000002"/>
    <s v="Tilak Marg PS"/>
    <x v="1"/>
    <x v="0"/>
    <x v="1"/>
    <s v="None"/>
    <n v="22"/>
    <s v="Other"/>
    <x v="4"/>
    <n v="18"/>
    <s v="Monday"/>
    <x v="1"/>
  </r>
  <r>
    <d v="2026-10-26T16:00:13"/>
    <x v="5"/>
    <n v="28.6129"/>
    <n v="77.229500000000002"/>
    <s v="Tilak Marg PS"/>
    <x v="7"/>
    <x v="0"/>
    <x v="2"/>
    <s v="Unknown"/>
    <n v="56"/>
    <s v="Other"/>
    <x v="4"/>
    <n v="16"/>
    <s v="Monday"/>
    <x v="2"/>
  </r>
  <r>
    <d v="2026-10-26T15:52:12"/>
    <x v="5"/>
    <n v="28.6129"/>
    <n v="77.229500000000002"/>
    <s v="Tilak Marg PS"/>
    <x v="4"/>
    <x v="3"/>
    <x v="1"/>
    <s v="Unknown"/>
    <n v="19"/>
    <s v="Other"/>
    <x v="4"/>
    <n v="15"/>
    <s v="Monday"/>
    <x v="2"/>
  </r>
  <r>
    <d v="2026-10-26T15:37:02"/>
    <x v="4"/>
    <n v="28.545300000000001"/>
    <n v="77.192499999999995"/>
    <s v="Vasant Kunj North PS"/>
    <x v="6"/>
    <x v="2"/>
    <x v="0"/>
    <s v="Unknown"/>
    <n v="34"/>
    <s v="Other"/>
    <x v="4"/>
    <n v="15"/>
    <s v="Monday"/>
    <x v="2"/>
  </r>
  <r>
    <d v="2026-10-26T15:11:41"/>
    <x v="0"/>
    <n v="28.632999999999999"/>
    <n v="77.2196"/>
    <s v="Connaught Place PS"/>
    <x v="5"/>
    <x v="0"/>
    <x v="1"/>
    <s v="None"/>
    <n v="68"/>
    <s v="Female"/>
    <x v="4"/>
    <n v="15"/>
    <s v="Monday"/>
    <x v="2"/>
  </r>
  <r>
    <d v="2026-10-26T12:39:00"/>
    <x v="3"/>
    <n v="28.5562"/>
    <n v="77.099999999999994"/>
    <s v="IGI Airport PS"/>
    <x v="1"/>
    <x v="3"/>
    <x v="1"/>
    <s v="None"/>
    <n v="27"/>
    <s v="Other"/>
    <x v="4"/>
    <n v="12"/>
    <s v="Monday"/>
    <x v="2"/>
  </r>
  <r>
    <d v="2026-10-26T08:44:23"/>
    <x v="3"/>
    <n v="28.5562"/>
    <n v="77.099999999999994"/>
    <s v="IGI Airport PS"/>
    <x v="1"/>
    <x v="0"/>
    <x v="2"/>
    <s v="None"/>
    <n v="25"/>
    <s v="Female"/>
    <x v="4"/>
    <n v="8"/>
    <s v="Monday"/>
    <x v="3"/>
  </r>
  <r>
    <d v="2026-10-26T08:42:33"/>
    <x v="3"/>
    <n v="28.5562"/>
    <n v="77.099999999999994"/>
    <s v="IGI Airport PS"/>
    <x v="1"/>
    <x v="2"/>
    <x v="2"/>
    <s v="None"/>
    <n v="59"/>
    <s v="Male"/>
    <x v="4"/>
    <n v="8"/>
    <s v="Monday"/>
    <x v="3"/>
  </r>
  <r>
    <d v="2026-10-26T07:08:31"/>
    <x v="3"/>
    <n v="28.5562"/>
    <n v="77.099999999999994"/>
    <s v="IGI Airport PS"/>
    <x v="1"/>
    <x v="2"/>
    <x v="1"/>
    <s v="None"/>
    <n v="42"/>
    <s v="Other"/>
    <x v="4"/>
    <n v="7"/>
    <s v="Monday"/>
    <x v="3"/>
  </r>
  <r>
    <d v="2026-10-26T07:04:00"/>
    <x v="6"/>
    <n v="28.571400000000001"/>
    <n v="77.281300000000002"/>
    <s v="Sunlight Colony PS"/>
    <x v="7"/>
    <x v="2"/>
    <x v="2"/>
    <s v="Firearm"/>
    <n v="49"/>
    <s v="Other"/>
    <x v="4"/>
    <n v="7"/>
    <s v="Monday"/>
    <x v="3"/>
  </r>
  <r>
    <d v="2026-10-26T06:06:10"/>
    <x v="1"/>
    <n v="28.567599999999999"/>
    <n v="77.209599999999995"/>
    <s v="Hauz Khas PS"/>
    <x v="7"/>
    <x v="2"/>
    <x v="2"/>
    <s v="Firearm"/>
    <n v="57"/>
    <s v="Male"/>
    <x v="4"/>
    <n v="6"/>
    <s v="Monday"/>
    <x v="3"/>
  </r>
  <r>
    <d v="2026-10-26T05:46:19"/>
    <x v="0"/>
    <n v="28.632999999999999"/>
    <n v="77.2196"/>
    <s v="Connaught Place PS"/>
    <x v="8"/>
    <x v="2"/>
    <x v="1"/>
    <s v="None"/>
    <n v="34"/>
    <s v="Male"/>
    <x v="4"/>
    <n v="5"/>
    <s v="Monday"/>
    <x v="0"/>
  </r>
  <r>
    <d v="2026-10-26T04:16:09"/>
    <x v="5"/>
    <n v="28.6129"/>
    <n v="77.229500000000002"/>
    <s v="Tilak Marg PS"/>
    <x v="0"/>
    <x v="0"/>
    <x v="1"/>
    <s v="None"/>
    <n v="31"/>
    <s v="Other"/>
    <x v="4"/>
    <n v="4"/>
    <s v="Monday"/>
    <x v="0"/>
  </r>
  <r>
    <d v="2026-10-26T02:59:20"/>
    <x v="3"/>
    <n v="28.5562"/>
    <n v="77.099999999999994"/>
    <s v="IGI Airport PS"/>
    <x v="6"/>
    <x v="0"/>
    <x v="3"/>
    <s v="None"/>
    <n v="68"/>
    <s v="Other"/>
    <x v="4"/>
    <n v="2"/>
    <s v="Monday"/>
    <x v="0"/>
  </r>
  <r>
    <d v="2026-10-26T01:06:06"/>
    <x v="7"/>
    <n v="28.656199999999998"/>
    <n v="77.231499999999997"/>
    <s v="Kotwali PS"/>
    <x v="1"/>
    <x v="1"/>
    <x v="1"/>
    <s v="None"/>
    <n v="23"/>
    <s v="Male"/>
    <x v="4"/>
    <n v="1"/>
    <s v="Monday"/>
    <x v="0"/>
  </r>
  <r>
    <d v="2026-10-26T00:26:32"/>
    <x v="7"/>
    <n v="28.656199999999998"/>
    <n v="77.231499999999997"/>
    <s v="Kotwali PS"/>
    <x v="1"/>
    <x v="2"/>
    <x v="1"/>
    <s v="None"/>
    <n v="70"/>
    <s v="Female"/>
    <x v="4"/>
    <n v="0"/>
    <s v="Monday"/>
    <x v="0"/>
  </r>
  <r>
    <d v="2026-10-25T22:25:28"/>
    <x v="3"/>
    <n v="28.5562"/>
    <n v="77.099999999999994"/>
    <s v="IGI Airport PS"/>
    <x v="8"/>
    <x v="3"/>
    <x v="2"/>
    <s v="None"/>
    <n v="34"/>
    <s v="Male"/>
    <x v="5"/>
    <n v="22"/>
    <s v="Sunday"/>
    <x v="0"/>
  </r>
  <r>
    <d v="2026-10-25T16:09:41"/>
    <x v="1"/>
    <n v="28.567599999999999"/>
    <n v="77.209599999999995"/>
    <s v="Hauz Khas PS"/>
    <x v="3"/>
    <x v="0"/>
    <x v="1"/>
    <s v="None"/>
    <n v="70"/>
    <s v="Other"/>
    <x v="5"/>
    <n v="16"/>
    <s v="Sunday"/>
    <x v="2"/>
  </r>
  <r>
    <d v="2026-10-25T15:24:26"/>
    <x v="4"/>
    <n v="28.545300000000001"/>
    <n v="77.192499999999995"/>
    <s v="Vasant Kunj North PS"/>
    <x v="3"/>
    <x v="0"/>
    <x v="1"/>
    <s v="Firearm"/>
    <n v="70"/>
    <s v="Other"/>
    <x v="5"/>
    <n v="15"/>
    <s v="Sunday"/>
    <x v="2"/>
  </r>
  <r>
    <d v="2026-10-25T15:05:03"/>
    <x v="5"/>
    <n v="28.6129"/>
    <n v="77.229500000000002"/>
    <s v="Tilak Marg PS"/>
    <x v="8"/>
    <x v="2"/>
    <x v="3"/>
    <s v="None"/>
    <n v="20"/>
    <s v="Female"/>
    <x v="5"/>
    <n v="15"/>
    <s v="Sunday"/>
    <x v="2"/>
  </r>
  <r>
    <d v="2026-10-25T14:56:02"/>
    <x v="7"/>
    <n v="28.656199999999998"/>
    <n v="77.231499999999997"/>
    <s v="Kotwali PS"/>
    <x v="4"/>
    <x v="0"/>
    <x v="1"/>
    <s v="Blunt Object"/>
    <n v="32"/>
    <s v="Other"/>
    <x v="5"/>
    <n v="14"/>
    <s v="Sunday"/>
    <x v="2"/>
  </r>
  <r>
    <d v="2026-10-25T10:30:48"/>
    <x v="5"/>
    <n v="28.6129"/>
    <n v="77.229500000000002"/>
    <s v="Tilak Marg PS"/>
    <x v="0"/>
    <x v="0"/>
    <x v="0"/>
    <s v="None"/>
    <n v="45"/>
    <s v="Male"/>
    <x v="5"/>
    <n v="10"/>
    <s v="Sunday"/>
    <x v="3"/>
  </r>
  <r>
    <d v="2026-10-25T10:26:38"/>
    <x v="4"/>
    <n v="28.545300000000001"/>
    <n v="77.192499999999995"/>
    <s v="Vasant Kunj North PS"/>
    <x v="4"/>
    <x v="0"/>
    <x v="1"/>
    <s v="Blunt Object"/>
    <n v="28"/>
    <s v="Other"/>
    <x v="5"/>
    <n v="10"/>
    <s v="Sunday"/>
    <x v="3"/>
  </r>
  <r>
    <d v="2026-10-25T09:41:21"/>
    <x v="3"/>
    <n v="28.5562"/>
    <n v="77.099999999999994"/>
    <s v="IGI Airport PS"/>
    <x v="8"/>
    <x v="2"/>
    <x v="3"/>
    <s v="None"/>
    <n v="29"/>
    <s v="Other"/>
    <x v="5"/>
    <n v="9"/>
    <s v="Sunday"/>
    <x v="3"/>
  </r>
  <r>
    <d v="2026-10-25T08:55:43"/>
    <x v="3"/>
    <n v="28.5562"/>
    <n v="77.099999999999994"/>
    <s v="IGI Airport PS"/>
    <x v="8"/>
    <x v="0"/>
    <x v="1"/>
    <s v="None"/>
    <n v="48"/>
    <s v="Female"/>
    <x v="5"/>
    <n v="8"/>
    <s v="Sunday"/>
    <x v="3"/>
  </r>
  <r>
    <d v="2026-10-25T08:31:47"/>
    <x v="2"/>
    <n v="28.6328"/>
    <n v="77.219499999999996"/>
    <s v="Connaught Place PS"/>
    <x v="5"/>
    <x v="3"/>
    <x v="3"/>
    <s v="None"/>
    <n v="29"/>
    <s v="Female"/>
    <x v="5"/>
    <n v="8"/>
    <s v="Sunday"/>
    <x v="3"/>
  </r>
  <r>
    <d v="2026-10-25T05:23:17"/>
    <x v="4"/>
    <n v="28.545300000000001"/>
    <n v="77.192499999999995"/>
    <s v="Vasant Kunj North PS"/>
    <x v="4"/>
    <x v="0"/>
    <x v="3"/>
    <s v="Blunt Object"/>
    <n v="36"/>
    <s v="Other"/>
    <x v="5"/>
    <n v="5"/>
    <s v="Sunday"/>
    <x v="0"/>
  </r>
  <r>
    <d v="2026-10-25T04:10:26"/>
    <x v="2"/>
    <n v="28.6328"/>
    <n v="77.219499999999996"/>
    <s v="Connaught Place PS"/>
    <x v="4"/>
    <x v="3"/>
    <x v="0"/>
    <s v="None"/>
    <n v="57"/>
    <s v="Female"/>
    <x v="5"/>
    <n v="4"/>
    <s v="Sunday"/>
    <x v="0"/>
  </r>
  <r>
    <d v="2026-10-25T03:49:32"/>
    <x v="4"/>
    <n v="28.545300000000001"/>
    <n v="77.192499999999995"/>
    <s v="Vasant Kunj North PS"/>
    <x v="8"/>
    <x v="3"/>
    <x v="2"/>
    <s v="None"/>
    <n v="70"/>
    <s v="Female"/>
    <x v="5"/>
    <n v="3"/>
    <s v="Sunday"/>
    <x v="0"/>
  </r>
  <r>
    <d v="2026-10-25T02:18:23"/>
    <x v="1"/>
    <n v="28.567599999999999"/>
    <n v="77.209599999999995"/>
    <s v="Hauz Khas PS"/>
    <x v="2"/>
    <x v="3"/>
    <x v="2"/>
    <s v="None"/>
    <n v="19"/>
    <s v="Other"/>
    <x v="5"/>
    <n v="2"/>
    <s v="Sunday"/>
    <x v="0"/>
  </r>
  <r>
    <d v="2026-10-25T00:53:58"/>
    <x v="5"/>
    <n v="28.6129"/>
    <n v="77.229500000000002"/>
    <s v="Tilak Marg PS"/>
    <x v="1"/>
    <x v="2"/>
    <x v="1"/>
    <s v="None"/>
    <n v="74"/>
    <s v="Other"/>
    <x v="5"/>
    <n v="0"/>
    <s v="Sunday"/>
    <x v="0"/>
  </r>
  <r>
    <d v="2026-10-24T22:11:26"/>
    <x v="7"/>
    <n v="28.656199999999998"/>
    <n v="77.231499999999997"/>
    <s v="Kotwali PS"/>
    <x v="5"/>
    <x v="0"/>
    <x v="0"/>
    <s v="None"/>
    <n v="38"/>
    <s v="Other"/>
    <x v="6"/>
    <n v="22"/>
    <s v="Saturday"/>
    <x v="0"/>
  </r>
  <r>
    <d v="2026-10-24T21:59:28"/>
    <x v="5"/>
    <n v="28.6129"/>
    <n v="77.229500000000002"/>
    <s v="Tilak Marg PS"/>
    <x v="7"/>
    <x v="0"/>
    <x v="3"/>
    <s v="None"/>
    <n v="21"/>
    <s v="Other"/>
    <x v="6"/>
    <n v="21"/>
    <s v="Saturday"/>
    <x v="0"/>
  </r>
  <r>
    <d v="2026-10-24T20:46:09"/>
    <x v="5"/>
    <n v="28.6129"/>
    <n v="77.229500000000002"/>
    <s v="Tilak Marg PS"/>
    <x v="0"/>
    <x v="0"/>
    <x v="2"/>
    <s v="None"/>
    <n v="40"/>
    <s v="Female"/>
    <x v="6"/>
    <n v="20"/>
    <s v="Saturday"/>
    <x v="1"/>
  </r>
  <r>
    <d v="2026-10-24T20:11:04"/>
    <x v="6"/>
    <n v="28.571400000000001"/>
    <n v="77.281300000000002"/>
    <s v="Sunlight Colony PS"/>
    <x v="0"/>
    <x v="1"/>
    <x v="1"/>
    <s v="None"/>
    <n v="49"/>
    <s v="Female"/>
    <x v="6"/>
    <n v="20"/>
    <s v="Saturday"/>
    <x v="1"/>
  </r>
  <r>
    <d v="2026-10-24T19:47:23"/>
    <x v="5"/>
    <n v="28.6129"/>
    <n v="77.229500000000002"/>
    <s v="Tilak Marg PS"/>
    <x v="1"/>
    <x v="0"/>
    <x v="2"/>
    <s v="None"/>
    <n v="50"/>
    <s v="Other"/>
    <x v="6"/>
    <n v="19"/>
    <s v="Saturday"/>
    <x v="1"/>
  </r>
  <r>
    <d v="2026-10-24T18:47:24"/>
    <x v="2"/>
    <n v="28.6328"/>
    <n v="77.219499999999996"/>
    <s v="Connaught Place PS"/>
    <x v="2"/>
    <x v="3"/>
    <x v="1"/>
    <s v="Firearm"/>
    <n v="37"/>
    <s v="Other"/>
    <x v="6"/>
    <n v="18"/>
    <s v="Saturday"/>
    <x v="1"/>
  </r>
  <r>
    <d v="2026-10-24T17:23:31"/>
    <x v="6"/>
    <n v="28.571400000000001"/>
    <n v="77.281300000000002"/>
    <s v="Sunlight Colony PS"/>
    <x v="4"/>
    <x v="0"/>
    <x v="0"/>
    <s v="Blunt Object"/>
    <n v="33"/>
    <s v="Female"/>
    <x v="6"/>
    <n v="17"/>
    <s v="Saturday"/>
    <x v="1"/>
  </r>
  <r>
    <d v="2026-10-24T16:40:52"/>
    <x v="6"/>
    <n v="28.571400000000001"/>
    <n v="77.281300000000002"/>
    <s v="Sunlight Colony PS"/>
    <x v="4"/>
    <x v="3"/>
    <x v="0"/>
    <s v="Blunt Object"/>
    <n v="53"/>
    <s v="Other"/>
    <x v="6"/>
    <n v="16"/>
    <s v="Saturday"/>
    <x v="2"/>
  </r>
  <r>
    <d v="2026-10-24T16:18:17"/>
    <x v="5"/>
    <n v="28.6129"/>
    <n v="77.229500000000002"/>
    <s v="Tilak Marg PS"/>
    <x v="4"/>
    <x v="3"/>
    <x v="2"/>
    <s v="None"/>
    <n v="50"/>
    <s v="Other"/>
    <x v="6"/>
    <n v="16"/>
    <s v="Saturday"/>
    <x v="2"/>
  </r>
  <r>
    <d v="2026-10-24T16:17:38"/>
    <x v="7"/>
    <n v="28.656199999999998"/>
    <n v="77.231499999999997"/>
    <s v="Kotwali PS"/>
    <x v="7"/>
    <x v="0"/>
    <x v="1"/>
    <s v="Knife"/>
    <n v="39"/>
    <s v="Female"/>
    <x v="6"/>
    <n v="16"/>
    <s v="Saturday"/>
    <x v="2"/>
  </r>
  <r>
    <d v="2026-10-24T15:22:43"/>
    <x v="2"/>
    <n v="28.6328"/>
    <n v="77.219499999999996"/>
    <s v="Connaught Place PS"/>
    <x v="2"/>
    <x v="2"/>
    <x v="2"/>
    <s v="None"/>
    <n v="73"/>
    <s v="Female"/>
    <x v="6"/>
    <n v="15"/>
    <s v="Saturday"/>
    <x v="2"/>
  </r>
  <r>
    <d v="2026-10-24T12:09:55"/>
    <x v="7"/>
    <n v="28.656199999999998"/>
    <n v="77.231499999999997"/>
    <s v="Kotwali PS"/>
    <x v="2"/>
    <x v="0"/>
    <x v="1"/>
    <s v="None"/>
    <n v="37"/>
    <s v="Other"/>
    <x v="6"/>
    <n v="12"/>
    <s v="Saturday"/>
    <x v="2"/>
  </r>
  <r>
    <d v="2026-10-24T11:30:54"/>
    <x v="5"/>
    <n v="28.6129"/>
    <n v="77.229500000000002"/>
    <s v="Tilak Marg PS"/>
    <x v="1"/>
    <x v="2"/>
    <x v="0"/>
    <s v="None"/>
    <n v="46"/>
    <s v="Other"/>
    <x v="6"/>
    <n v="11"/>
    <s v="Saturday"/>
    <x v="3"/>
  </r>
  <r>
    <d v="2026-10-24T11:00:42"/>
    <x v="6"/>
    <n v="28.571400000000001"/>
    <n v="77.281300000000002"/>
    <s v="Sunlight Colony PS"/>
    <x v="4"/>
    <x v="0"/>
    <x v="1"/>
    <s v="Knife"/>
    <n v="61"/>
    <s v="Female"/>
    <x v="6"/>
    <n v="11"/>
    <s v="Saturday"/>
    <x v="3"/>
  </r>
  <r>
    <d v="2026-10-24T09:52:57"/>
    <x v="6"/>
    <n v="28.571400000000001"/>
    <n v="77.281300000000002"/>
    <s v="Sunlight Colony PS"/>
    <x v="5"/>
    <x v="2"/>
    <x v="3"/>
    <s v="None"/>
    <n v="68"/>
    <s v="Female"/>
    <x v="6"/>
    <n v="9"/>
    <s v="Saturday"/>
    <x v="3"/>
  </r>
  <r>
    <d v="2026-10-24T03:24:23"/>
    <x v="3"/>
    <n v="28.5562"/>
    <n v="77.099999999999994"/>
    <s v="IGI Airport PS"/>
    <x v="1"/>
    <x v="2"/>
    <x v="3"/>
    <s v="None"/>
    <n v="39"/>
    <s v="Female"/>
    <x v="6"/>
    <n v="3"/>
    <s v="Saturday"/>
    <x v="0"/>
  </r>
  <r>
    <d v="2026-10-24T02:07:19"/>
    <x v="4"/>
    <n v="28.545300000000001"/>
    <n v="77.192499999999995"/>
    <s v="Vasant Kunj North PS"/>
    <x v="6"/>
    <x v="0"/>
    <x v="1"/>
    <s v="Knife"/>
    <n v="36"/>
    <s v="Male"/>
    <x v="6"/>
    <n v="2"/>
    <s v="Saturday"/>
    <x v="0"/>
  </r>
  <r>
    <d v="2026-10-24T00:23:29"/>
    <x v="2"/>
    <n v="28.6328"/>
    <n v="77.219499999999996"/>
    <s v="Connaught Place PS"/>
    <x v="2"/>
    <x v="3"/>
    <x v="1"/>
    <s v="Unknown"/>
    <n v="48"/>
    <s v="Other"/>
    <x v="6"/>
    <n v="0"/>
    <s v="Saturday"/>
    <x v="0"/>
  </r>
  <r>
    <d v="2026-10-24T00:04:29"/>
    <x v="3"/>
    <n v="28.5562"/>
    <n v="77.099999999999994"/>
    <s v="IGI Airport PS"/>
    <x v="3"/>
    <x v="0"/>
    <x v="2"/>
    <s v="None"/>
    <n v="36"/>
    <s v="Female"/>
    <x v="6"/>
    <n v="0"/>
    <s v="Saturday"/>
    <x v="0"/>
  </r>
  <r>
    <d v="2026-10-24T00:02:31"/>
    <x v="6"/>
    <n v="28.571400000000001"/>
    <n v="77.281300000000002"/>
    <s v="Sunlight Colony PS"/>
    <x v="0"/>
    <x v="3"/>
    <x v="0"/>
    <s v="None"/>
    <n v="58"/>
    <s v="Female"/>
    <x v="6"/>
    <n v="0"/>
    <s v="Saturday"/>
    <x v="0"/>
  </r>
  <r>
    <d v="2026-10-23T20:56:41"/>
    <x v="5"/>
    <n v="28.6129"/>
    <n v="77.229500000000002"/>
    <s v="Tilak Marg PS"/>
    <x v="1"/>
    <x v="3"/>
    <x v="0"/>
    <s v="None"/>
    <n v="60"/>
    <s v="Other"/>
    <x v="7"/>
    <n v="20"/>
    <s v="Friday"/>
    <x v="1"/>
  </r>
  <r>
    <d v="2026-10-23T20:53:59"/>
    <x v="3"/>
    <n v="28.5562"/>
    <n v="77.099999999999994"/>
    <s v="IGI Airport PS"/>
    <x v="8"/>
    <x v="3"/>
    <x v="2"/>
    <s v="None"/>
    <n v="25"/>
    <s v="Other"/>
    <x v="7"/>
    <n v="20"/>
    <s v="Friday"/>
    <x v="1"/>
  </r>
  <r>
    <d v="2026-10-23T20:33:52"/>
    <x v="0"/>
    <n v="28.632999999999999"/>
    <n v="77.2196"/>
    <s v="Connaught Place PS"/>
    <x v="5"/>
    <x v="0"/>
    <x v="3"/>
    <s v="None"/>
    <n v="29"/>
    <s v="Male"/>
    <x v="7"/>
    <n v="20"/>
    <s v="Friday"/>
    <x v="1"/>
  </r>
  <r>
    <d v="2026-10-23T18:25:35"/>
    <x v="2"/>
    <n v="28.6328"/>
    <n v="77.219499999999996"/>
    <s v="Connaught Place PS"/>
    <x v="6"/>
    <x v="0"/>
    <x v="0"/>
    <s v="None"/>
    <n v="45"/>
    <s v="Male"/>
    <x v="7"/>
    <n v="18"/>
    <s v="Friday"/>
    <x v="1"/>
  </r>
  <r>
    <d v="2026-10-23T17:05:33"/>
    <x v="1"/>
    <n v="28.567599999999999"/>
    <n v="77.209599999999995"/>
    <s v="Hauz Khas PS"/>
    <x v="2"/>
    <x v="3"/>
    <x v="2"/>
    <s v="Blunt Object"/>
    <n v="63"/>
    <s v="Female"/>
    <x v="7"/>
    <n v="17"/>
    <s v="Friday"/>
    <x v="1"/>
  </r>
  <r>
    <d v="2026-10-23T16:21:59"/>
    <x v="1"/>
    <n v="28.567599999999999"/>
    <n v="77.209599999999995"/>
    <s v="Hauz Khas PS"/>
    <x v="5"/>
    <x v="0"/>
    <x v="2"/>
    <s v="None"/>
    <n v="71"/>
    <s v="Female"/>
    <x v="7"/>
    <n v="16"/>
    <s v="Friday"/>
    <x v="2"/>
  </r>
  <r>
    <d v="2026-10-23T15:35:58"/>
    <x v="2"/>
    <n v="28.6328"/>
    <n v="77.219499999999996"/>
    <s v="Connaught Place PS"/>
    <x v="4"/>
    <x v="0"/>
    <x v="1"/>
    <s v="Firearm"/>
    <n v="34"/>
    <s v="Other"/>
    <x v="7"/>
    <n v="15"/>
    <s v="Friday"/>
    <x v="2"/>
  </r>
  <r>
    <d v="2026-10-23T13:57:09"/>
    <x v="5"/>
    <n v="28.6129"/>
    <n v="77.229500000000002"/>
    <s v="Tilak Marg PS"/>
    <x v="2"/>
    <x v="0"/>
    <x v="2"/>
    <s v="Blunt Object"/>
    <n v="28"/>
    <s v="Other"/>
    <x v="7"/>
    <n v="13"/>
    <s v="Friday"/>
    <x v="2"/>
  </r>
  <r>
    <d v="2026-10-23T09:38:34"/>
    <x v="2"/>
    <n v="28.6328"/>
    <n v="77.219499999999996"/>
    <s v="Connaught Place PS"/>
    <x v="0"/>
    <x v="0"/>
    <x v="0"/>
    <s v="None"/>
    <n v="32"/>
    <s v="Other"/>
    <x v="7"/>
    <n v="9"/>
    <s v="Friday"/>
    <x v="3"/>
  </r>
  <r>
    <d v="2026-10-23T06:44:50"/>
    <x v="1"/>
    <n v="28.567599999999999"/>
    <n v="77.209599999999995"/>
    <s v="Hauz Khas PS"/>
    <x v="5"/>
    <x v="2"/>
    <x v="1"/>
    <s v="None"/>
    <n v="58"/>
    <s v="Female"/>
    <x v="7"/>
    <n v="6"/>
    <s v="Friday"/>
    <x v="3"/>
  </r>
  <r>
    <d v="2026-10-23T06:38:33"/>
    <x v="6"/>
    <n v="28.571400000000001"/>
    <n v="77.281300000000002"/>
    <s v="Sunlight Colony PS"/>
    <x v="3"/>
    <x v="0"/>
    <x v="2"/>
    <s v="Firearm"/>
    <n v="55"/>
    <s v="Male"/>
    <x v="7"/>
    <n v="6"/>
    <s v="Friday"/>
    <x v="3"/>
  </r>
  <r>
    <d v="2026-10-23T05:16:14"/>
    <x v="2"/>
    <n v="28.6328"/>
    <n v="77.219499999999996"/>
    <s v="Connaught Place PS"/>
    <x v="0"/>
    <x v="0"/>
    <x v="2"/>
    <s v="None"/>
    <n v="60"/>
    <s v="Other"/>
    <x v="7"/>
    <n v="5"/>
    <s v="Friday"/>
    <x v="0"/>
  </r>
  <r>
    <d v="2026-10-23T02:28:38"/>
    <x v="3"/>
    <n v="28.5562"/>
    <n v="77.099999999999994"/>
    <s v="IGI Airport PS"/>
    <x v="2"/>
    <x v="0"/>
    <x v="1"/>
    <s v="None"/>
    <n v="40"/>
    <s v="Female"/>
    <x v="7"/>
    <n v="2"/>
    <s v="Friday"/>
    <x v="0"/>
  </r>
  <r>
    <d v="2026-10-22T23:30:15"/>
    <x v="6"/>
    <n v="28.571400000000001"/>
    <n v="77.281300000000002"/>
    <s v="Sunlight Colony PS"/>
    <x v="6"/>
    <x v="0"/>
    <x v="2"/>
    <s v="None"/>
    <n v="62"/>
    <s v="Male"/>
    <x v="8"/>
    <n v="23"/>
    <s v="Thursday"/>
    <x v="0"/>
  </r>
  <r>
    <d v="2026-10-22T23:18:06"/>
    <x v="0"/>
    <n v="28.632999999999999"/>
    <n v="77.2196"/>
    <s v="Connaught Place PS"/>
    <x v="0"/>
    <x v="3"/>
    <x v="0"/>
    <s v="None"/>
    <n v="71"/>
    <s v="Other"/>
    <x v="8"/>
    <n v="23"/>
    <s v="Thursday"/>
    <x v="0"/>
  </r>
  <r>
    <d v="2026-10-22T19:16:13"/>
    <x v="6"/>
    <n v="28.571400000000001"/>
    <n v="77.281300000000002"/>
    <s v="Sunlight Colony PS"/>
    <x v="0"/>
    <x v="0"/>
    <x v="3"/>
    <s v="None"/>
    <n v="62"/>
    <s v="Female"/>
    <x v="8"/>
    <n v="19"/>
    <s v="Thursday"/>
    <x v="1"/>
  </r>
  <r>
    <d v="2026-10-22T17:46:04"/>
    <x v="1"/>
    <n v="28.567599999999999"/>
    <n v="77.209599999999995"/>
    <s v="Hauz Khas PS"/>
    <x v="0"/>
    <x v="2"/>
    <x v="1"/>
    <s v="None"/>
    <n v="24"/>
    <s v="Female"/>
    <x v="8"/>
    <n v="17"/>
    <s v="Thursday"/>
    <x v="1"/>
  </r>
  <r>
    <d v="2026-10-22T16:11:28"/>
    <x v="5"/>
    <n v="28.6129"/>
    <n v="77.229500000000002"/>
    <s v="Tilak Marg PS"/>
    <x v="5"/>
    <x v="0"/>
    <x v="0"/>
    <s v="None"/>
    <n v="50"/>
    <s v="Male"/>
    <x v="8"/>
    <n v="16"/>
    <s v="Thursday"/>
    <x v="2"/>
  </r>
  <r>
    <d v="2026-10-22T16:01:41"/>
    <x v="2"/>
    <n v="28.6328"/>
    <n v="77.219499999999996"/>
    <s v="Connaught Place PS"/>
    <x v="5"/>
    <x v="0"/>
    <x v="0"/>
    <s v="None"/>
    <n v="36"/>
    <s v="Male"/>
    <x v="8"/>
    <n v="16"/>
    <s v="Thursday"/>
    <x v="2"/>
  </r>
  <r>
    <d v="2026-10-22T14:42:52"/>
    <x v="6"/>
    <n v="28.571400000000001"/>
    <n v="77.281300000000002"/>
    <s v="Sunlight Colony PS"/>
    <x v="1"/>
    <x v="2"/>
    <x v="0"/>
    <s v="None"/>
    <n v="44"/>
    <s v="Other"/>
    <x v="8"/>
    <n v="14"/>
    <s v="Thursday"/>
    <x v="2"/>
  </r>
  <r>
    <d v="2026-10-22T14:22:37"/>
    <x v="1"/>
    <n v="28.567599999999999"/>
    <n v="77.209599999999995"/>
    <s v="Hauz Khas PS"/>
    <x v="7"/>
    <x v="0"/>
    <x v="1"/>
    <s v="Blunt Object"/>
    <n v="65"/>
    <s v="Other"/>
    <x v="8"/>
    <n v="14"/>
    <s v="Thursday"/>
    <x v="2"/>
  </r>
  <r>
    <d v="2026-10-22T14:10:44"/>
    <x v="6"/>
    <n v="28.571400000000001"/>
    <n v="77.281300000000002"/>
    <s v="Sunlight Colony PS"/>
    <x v="1"/>
    <x v="0"/>
    <x v="1"/>
    <s v="None"/>
    <n v="37"/>
    <s v="Female"/>
    <x v="8"/>
    <n v="14"/>
    <s v="Thursday"/>
    <x v="2"/>
  </r>
  <r>
    <d v="2026-10-22T13:50:58"/>
    <x v="0"/>
    <n v="28.632999999999999"/>
    <n v="77.2196"/>
    <s v="Connaught Place PS"/>
    <x v="1"/>
    <x v="2"/>
    <x v="1"/>
    <s v="None"/>
    <n v="32"/>
    <s v="Female"/>
    <x v="8"/>
    <n v="13"/>
    <s v="Thursday"/>
    <x v="2"/>
  </r>
  <r>
    <d v="2026-10-22T11:47:56"/>
    <x v="5"/>
    <n v="28.6129"/>
    <n v="77.229500000000002"/>
    <s v="Tilak Marg PS"/>
    <x v="0"/>
    <x v="2"/>
    <x v="1"/>
    <s v="None"/>
    <n v="51"/>
    <s v="Female"/>
    <x v="8"/>
    <n v="11"/>
    <s v="Thursday"/>
    <x v="3"/>
  </r>
  <r>
    <d v="2026-10-22T09:54:33"/>
    <x v="1"/>
    <n v="28.567599999999999"/>
    <n v="77.209599999999995"/>
    <s v="Hauz Khas PS"/>
    <x v="5"/>
    <x v="3"/>
    <x v="2"/>
    <s v="None"/>
    <n v="55"/>
    <s v="Female"/>
    <x v="8"/>
    <n v="9"/>
    <s v="Thursday"/>
    <x v="3"/>
  </r>
  <r>
    <d v="2026-10-22T06:31:51"/>
    <x v="4"/>
    <n v="28.545300000000001"/>
    <n v="77.192499999999995"/>
    <s v="Vasant Kunj North PS"/>
    <x v="3"/>
    <x v="2"/>
    <x v="1"/>
    <s v="None"/>
    <n v="37"/>
    <s v="Female"/>
    <x v="8"/>
    <n v="6"/>
    <s v="Thursday"/>
    <x v="3"/>
  </r>
  <r>
    <d v="2026-10-22T05:16:34"/>
    <x v="3"/>
    <n v="28.5562"/>
    <n v="77.099999999999994"/>
    <s v="IGI Airport PS"/>
    <x v="4"/>
    <x v="0"/>
    <x v="2"/>
    <s v="Firearm"/>
    <n v="47"/>
    <s v="Male"/>
    <x v="8"/>
    <n v="5"/>
    <s v="Thursday"/>
    <x v="0"/>
  </r>
  <r>
    <d v="2026-10-22T04:10:57"/>
    <x v="0"/>
    <n v="28.632999999999999"/>
    <n v="77.2196"/>
    <s v="Connaught Place PS"/>
    <x v="0"/>
    <x v="0"/>
    <x v="0"/>
    <s v="None"/>
    <n v="40"/>
    <s v="Other"/>
    <x v="8"/>
    <n v="4"/>
    <s v="Thursday"/>
    <x v="0"/>
  </r>
  <r>
    <d v="2026-10-22T03:53:28"/>
    <x v="4"/>
    <n v="28.545300000000001"/>
    <n v="77.192499999999995"/>
    <s v="Vasant Kunj North PS"/>
    <x v="2"/>
    <x v="0"/>
    <x v="2"/>
    <s v="Knife"/>
    <n v="60"/>
    <s v="Male"/>
    <x v="8"/>
    <n v="3"/>
    <s v="Thursday"/>
    <x v="0"/>
  </r>
  <r>
    <d v="2026-10-22T03:45:27"/>
    <x v="7"/>
    <n v="28.656199999999998"/>
    <n v="77.231499999999997"/>
    <s v="Kotwali PS"/>
    <x v="6"/>
    <x v="0"/>
    <x v="2"/>
    <s v="Knife"/>
    <n v="71"/>
    <s v="Male"/>
    <x v="8"/>
    <n v="3"/>
    <s v="Thursday"/>
    <x v="0"/>
  </r>
  <r>
    <d v="2026-10-22T02:45:48"/>
    <x v="7"/>
    <n v="28.656199999999998"/>
    <n v="77.231499999999997"/>
    <s v="Kotwali PS"/>
    <x v="4"/>
    <x v="3"/>
    <x v="1"/>
    <s v="Unknown"/>
    <n v="59"/>
    <s v="Other"/>
    <x v="8"/>
    <n v="2"/>
    <s v="Thursday"/>
    <x v="0"/>
  </r>
  <r>
    <d v="2026-10-22T00:41:14"/>
    <x v="3"/>
    <n v="28.5562"/>
    <n v="77.099999999999994"/>
    <s v="IGI Airport PS"/>
    <x v="6"/>
    <x v="0"/>
    <x v="2"/>
    <s v="Firearm"/>
    <n v="43"/>
    <s v="Male"/>
    <x v="8"/>
    <n v="0"/>
    <s v="Thursday"/>
    <x v="0"/>
  </r>
  <r>
    <d v="2026-10-21T23:20:10"/>
    <x v="7"/>
    <n v="28.656199999999998"/>
    <n v="77.231499999999997"/>
    <s v="Kotwali PS"/>
    <x v="5"/>
    <x v="0"/>
    <x v="0"/>
    <s v="None"/>
    <n v="52"/>
    <s v="Female"/>
    <x v="9"/>
    <n v="23"/>
    <s v="Wednesday"/>
    <x v="0"/>
  </r>
  <r>
    <d v="2026-10-21T22:46:22"/>
    <x v="2"/>
    <n v="28.6328"/>
    <n v="77.219499999999996"/>
    <s v="Connaught Place PS"/>
    <x v="0"/>
    <x v="3"/>
    <x v="2"/>
    <s v="None"/>
    <n v="19"/>
    <s v="Other"/>
    <x v="9"/>
    <n v="22"/>
    <s v="Wednesday"/>
    <x v="0"/>
  </r>
  <r>
    <d v="2026-10-21T19:24:20"/>
    <x v="6"/>
    <n v="28.571400000000001"/>
    <n v="77.281300000000002"/>
    <s v="Sunlight Colony PS"/>
    <x v="8"/>
    <x v="1"/>
    <x v="0"/>
    <s v="None"/>
    <n v="57"/>
    <s v="Other"/>
    <x v="9"/>
    <n v="19"/>
    <s v="Wednesday"/>
    <x v="1"/>
  </r>
  <r>
    <d v="2026-10-21T18:56:36"/>
    <x v="3"/>
    <n v="28.5562"/>
    <n v="77.099999999999994"/>
    <s v="IGI Airport PS"/>
    <x v="1"/>
    <x v="0"/>
    <x v="1"/>
    <s v="None"/>
    <n v="64"/>
    <s v="Male"/>
    <x v="9"/>
    <n v="18"/>
    <s v="Wednesday"/>
    <x v="1"/>
  </r>
  <r>
    <d v="2026-10-21T18:53:18"/>
    <x v="2"/>
    <n v="28.6328"/>
    <n v="77.219499999999996"/>
    <s v="Connaught Place PS"/>
    <x v="0"/>
    <x v="2"/>
    <x v="1"/>
    <s v="None"/>
    <n v="73"/>
    <s v="Male"/>
    <x v="9"/>
    <n v="18"/>
    <s v="Wednesday"/>
    <x v="1"/>
  </r>
  <r>
    <d v="2026-10-21T16:39:20"/>
    <x v="2"/>
    <n v="28.6328"/>
    <n v="77.219499999999996"/>
    <s v="Connaught Place PS"/>
    <x v="2"/>
    <x v="1"/>
    <x v="2"/>
    <s v="Firearm"/>
    <n v="34"/>
    <s v="Male"/>
    <x v="9"/>
    <n v="16"/>
    <s v="Wednesday"/>
    <x v="2"/>
  </r>
  <r>
    <d v="2026-10-21T16:38:31"/>
    <x v="4"/>
    <n v="28.545300000000001"/>
    <n v="77.192499999999995"/>
    <s v="Vasant Kunj North PS"/>
    <x v="0"/>
    <x v="2"/>
    <x v="1"/>
    <s v="None"/>
    <n v="64"/>
    <s v="Male"/>
    <x v="9"/>
    <n v="16"/>
    <s v="Wednesday"/>
    <x v="2"/>
  </r>
  <r>
    <d v="2026-10-21T15:34:32"/>
    <x v="6"/>
    <n v="28.571400000000001"/>
    <n v="77.281300000000002"/>
    <s v="Sunlight Colony PS"/>
    <x v="4"/>
    <x v="0"/>
    <x v="1"/>
    <s v="Unknown"/>
    <n v="64"/>
    <s v="Male"/>
    <x v="9"/>
    <n v="15"/>
    <s v="Wednesday"/>
    <x v="2"/>
  </r>
  <r>
    <d v="2026-10-21T14:11:20"/>
    <x v="7"/>
    <n v="28.656199999999998"/>
    <n v="77.231499999999997"/>
    <s v="Kotwali PS"/>
    <x v="1"/>
    <x v="2"/>
    <x v="1"/>
    <s v="None"/>
    <n v="19"/>
    <s v="Female"/>
    <x v="9"/>
    <n v="14"/>
    <s v="Wednesday"/>
    <x v="2"/>
  </r>
  <r>
    <d v="2026-10-21T13:41:04"/>
    <x v="3"/>
    <n v="28.5562"/>
    <n v="77.099999999999994"/>
    <s v="IGI Airport PS"/>
    <x v="4"/>
    <x v="1"/>
    <x v="0"/>
    <s v="Unknown"/>
    <n v="65"/>
    <s v="Female"/>
    <x v="9"/>
    <n v="13"/>
    <s v="Wednesday"/>
    <x v="2"/>
  </r>
  <r>
    <d v="2026-10-21T13:36:19"/>
    <x v="2"/>
    <n v="28.6328"/>
    <n v="77.219499999999996"/>
    <s v="Connaught Place PS"/>
    <x v="7"/>
    <x v="3"/>
    <x v="0"/>
    <s v="Blunt Object"/>
    <n v="70"/>
    <s v="Other"/>
    <x v="9"/>
    <n v="13"/>
    <s v="Wednesday"/>
    <x v="2"/>
  </r>
  <r>
    <d v="2026-10-21T13:13:56"/>
    <x v="3"/>
    <n v="28.5562"/>
    <n v="77.099999999999994"/>
    <s v="IGI Airport PS"/>
    <x v="0"/>
    <x v="0"/>
    <x v="2"/>
    <s v="None"/>
    <n v="44"/>
    <s v="Other"/>
    <x v="9"/>
    <n v="13"/>
    <s v="Wednesday"/>
    <x v="2"/>
  </r>
  <r>
    <d v="2026-10-21T12:23:15"/>
    <x v="6"/>
    <n v="28.571400000000001"/>
    <n v="77.281300000000002"/>
    <s v="Sunlight Colony PS"/>
    <x v="5"/>
    <x v="0"/>
    <x v="1"/>
    <s v="None"/>
    <n v="39"/>
    <s v="Male"/>
    <x v="9"/>
    <n v="12"/>
    <s v="Wednesday"/>
    <x v="2"/>
  </r>
  <r>
    <d v="2026-10-21T12:05:06"/>
    <x v="0"/>
    <n v="28.632999999999999"/>
    <n v="77.2196"/>
    <s v="Connaught Place PS"/>
    <x v="6"/>
    <x v="0"/>
    <x v="3"/>
    <s v="None"/>
    <n v="50"/>
    <s v="Other"/>
    <x v="9"/>
    <n v="12"/>
    <s v="Wednesday"/>
    <x v="2"/>
  </r>
  <r>
    <d v="2026-10-21T11:29:29"/>
    <x v="5"/>
    <n v="28.6129"/>
    <n v="77.229500000000002"/>
    <s v="Tilak Marg PS"/>
    <x v="5"/>
    <x v="2"/>
    <x v="1"/>
    <s v="None"/>
    <n v="67"/>
    <s v="Other"/>
    <x v="9"/>
    <n v="11"/>
    <s v="Wednesday"/>
    <x v="3"/>
  </r>
  <r>
    <d v="2026-10-21T11:13:58"/>
    <x v="0"/>
    <n v="28.632999999999999"/>
    <n v="77.2196"/>
    <s v="Connaught Place PS"/>
    <x v="6"/>
    <x v="0"/>
    <x v="2"/>
    <s v="Firearm"/>
    <n v="50"/>
    <s v="Male"/>
    <x v="9"/>
    <n v="11"/>
    <s v="Wednesday"/>
    <x v="3"/>
  </r>
  <r>
    <d v="2026-10-21T11:03:37"/>
    <x v="2"/>
    <n v="28.6328"/>
    <n v="77.219499999999996"/>
    <s v="Connaught Place PS"/>
    <x v="2"/>
    <x v="2"/>
    <x v="2"/>
    <s v="Blunt Object"/>
    <n v="66"/>
    <s v="Other"/>
    <x v="9"/>
    <n v="11"/>
    <s v="Wednesday"/>
    <x v="3"/>
  </r>
  <r>
    <d v="2026-10-21T10:30:38"/>
    <x v="5"/>
    <n v="28.6129"/>
    <n v="77.229500000000002"/>
    <s v="Tilak Marg PS"/>
    <x v="7"/>
    <x v="0"/>
    <x v="2"/>
    <s v="Firearm"/>
    <n v="52"/>
    <s v="Male"/>
    <x v="9"/>
    <n v="10"/>
    <s v="Wednesday"/>
    <x v="3"/>
  </r>
  <r>
    <d v="2026-10-21T09:59:39"/>
    <x v="7"/>
    <n v="28.656199999999998"/>
    <n v="77.231499999999997"/>
    <s v="Kotwali PS"/>
    <x v="1"/>
    <x v="2"/>
    <x v="2"/>
    <s v="None"/>
    <n v="71"/>
    <s v="Male"/>
    <x v="9"/>
    <n v="9"/>
    <s v="Wednesday"/>
    <x v="3"/>
  </r>
  <r>
    <d v="2026-10-21T09:55:55"/>
    <x v="3"/>
    <n v="28.5562"/>
    <n v="77.099999999999994"/>
    <s v="IGI Airport PS"/>
    <x v="8"/>
    <x v="0"/>
    <x v="0"/>
    <s v="None"/>
    <n v="60"/>
    <s v="Other"/>
    <x v="9"/>
    <n v="9"/>
    <s v="Wednesday"/>
    <x v="3"/>
  </r>
  <r>
    <d v="2026-10-21T07:57:48"/>
    <x v="2"/>
    <n v="28.6328"/>
    <n v="77.219499999999996"/>
    <s v="Connaught Place PS"/>
    <x v="0"/>
    <x v="0"/>
    <x v="1"/>
    <s v="None"/>
    <n v="54"/>
    <s v="Male"/>
    <x v="9"/>
    <n v="7"/>
    <s v="Wednesday"/>
    <x v="3"/>
  </r>
  <r>
    <d v="2026-10-21T07:37:38"/>
    <x v="0"/>
    <n v="28.632999999999999"/>
    <n v="77.2196"/>
    <s v="Connaught Place PS"/>
    <x v="5"/>
    <x v="3"/>
    <x v="2"/>
    <s v="None"/>
    <n v="20"/>
    <s v="Female"/>
    <x v="9"/>
    <n v="7"/>
    <s v="Wednesday"/>
    <x v="3"/>
  </r>
  <r>
    <d v="2026-10-21T07:09:56"/>
    <x v="6"/>
    <n v="28.571400000000001"/>
    <n v="77.281300000000002"/>
    <s v="Sunlight Colony PS"/>
    <x v="1"/>
    <x v="0"/>
    <x v="1"/>
    <s v="None"/>
    <n v="59"/>
    <s v="Female"/>
    <x v="9"/>
    <n v="7"/>
    <s v="Wednesday"/>
    <x v="3"/>
  </r>
  <r>
    <d v="2026-10-21T06:54:23"/>
    <x v="2"/>
    <n v="28.6328"/>
    <n v="77.219499999999996"/>
    <s v="Connaught Place PS"/>
    <x v="2"/>
    <x v="3"/>
    <x v="1"/>
    <s v="Unknown"/>
    <n v="27"/>
    <s v="Female"/>
    <x v="9"/>
    <n v="6"/>
    <s v="Wednesday"/>
    <x v="3"/>
  </r>
  <r>
    <d v="2026-10-21T02:05:34"/>
    <x v="0"/>
    <n v="28.632999999999999"/>
    <n v="77.2196"/>
    <s v="Connaught Place PS"/>
    <x v="0"/>
    <x v="0"/>
    <x v="1"/>
    <s v="None"/>
    <n v="59"/>
    <s v="Male"/>
    <x v="9"/>
    <n v="2"/>
    <s v="Wednesday"/>
    <x v="0"/>
  </r>
  <r>
    <d v="2026-10-21T00:09:26"/>
    <x v="1"/>
    <n v="28.567599999999999"/>
    <n v="77.209599999999995"/>
    <s v="Hauz Khas PS"/>
    <x v="7"/>
    <x v="0"/>
    <x v="1"/>
    <s v="Blunt Object"/>
    <n v="73"/>
    <s v="Other"/>
    <x v="9"/>
    <n v="0"/>
    <s v="Wednesday"/>
    <x v="0"/>
  </r>
  <r>
    <d v="2026-10-20T23:40:07"/>
    <x v="6"/>
    <n v="28.571400000000001"/>
    <n v="77.281300000000002"/>
    <s v="Sunlight Colony PS"/>
    <x v="7"/>
    <x v="0"/>
    <x v="2"/>
    <s v="Blunt Object"/>
    <n v="50"/>
    <s v="Other"/>
    <x v="10"/>
    <n v="23"/>
    <s v="Tuesday"/>
    <x v="0"/>
  </r>
  <r>
    <d v="2026-10-20T22:08:05"/>
    <x v="7"/>
    <n v="28.656199999999998"/>
    <n v="77.231499999999997"/>
    <s v="Kotwali PS"/>
    <x v="4"/>
    <x v="1"/>
    <x v="1"/>
    <s v="Unknown"/>
    <n v="34"/>
    <s v="Male"/>
    <x v="10"/>
    <n v="22"/>
    <s v="Tuesday"/>
    <x v="0"/>
  </r>
  <r>
    <d v="2026-10-20T22:03:02"/>
    <x v="1"/>
    <n v="28.567599999999999"/>
    <n v="77.209599999999995"/>
    <s v="Hauz Khas PS"/>
    <x v="2"/>
    <x v="3"/>
    <x v="2"/>
    <s v="Firearm"/>
    <n v="57"/>
    <s v="Female"/>
    <x v="10"/>
    <n v="22"/>
    <s v="Tuesday"/>
    <x v="0"/>
  </r>
  <r>
    <d v="2026-10-20T21:50:05"/>
    <x v="1"/>
    <n v="28.567599999999999"/>
    <n v="77.209599999999995"/>
    <s v="Hauz Khas PS"/>
    <x v="3"/>
    <x v="0"/>
    <x v="2"/>
    <s v="Blunt Object"/>
    <n v="19"/>
    <s v="Female"/>
    <x v="10"/>
    <n v="21"/>
    <s v="Tuesday"/>
    <x v="0"/>
  </r>
  <r>
    <d v="2026-10-20T19:40:11"/>
    <x v="1"/>
    <n v="28.567599999999999"/>
    <n v="77.209599999999995"/>
    <s v="Hauz Khas PS"/>
    <x v="5"/>
    <x v="3"/>
    <x v="2"/>
    <s v="None"/>
    <n v="69"/>
    <s v="Other"/>
    <x v="10"/>
    <n v="19"/>
    <s v="Tuesday"/>
    <x v="1"/>
  </r>
  <r>
    <d v="2026-10-20T19:07:42"/>
    <x v="0"/>
    <n v="28.632999999999999"/>
    <n v="77.2196"/>
    <s v="Connaught Place PS"/>
    <x v="3"/>
    <x v="0"/>
    <x v="2"/>
    <s v="Blunt Object"/>
    <n v="69"/>
    <s v="Female"/>
    <x v="10"/>
    <n v="19"/>
    <s v="Tuesday"/>
    <x v="1"/>
  </r>
  <r>
    <d v="2026-10-20T18:00:06"/>
    <x v="5"/>
    <n v="28.6129"/>
    <n v="77.229500000000002"/>
    <s v="Tilak Marg PS"/>
    <x v="5"/>
    <x v="0"/>
    <x v="0"/>
    <s v="None"/>
    <n v="28"/>
    <s v="Other"/>
    <x v="10"/>
    <n v="18"/>
    <s v="Tuesday"/>
    <x v="1"/>
  </r>
  <r>
    <d v="2026-10-20T15:41:11"/>
    <x v="3"/>
    <n v="28.5562"/>
    <n v="77.099999999999994"/>
    <s v="IGI Airport PS"/>
    <x v="5"/>
    <x v="0"/>
    <x v="0"/>
    <s v="None"/>
    <n v="57"/>
    <s v="Female"/>
    <x v="10"/>
    <n v="15"/>
    <s v="Tuesday"/>
    <x v="2"/>
  </r>
  <r>
    <d v="2026-10-20T12:50:41"/>
    <x v="2"/>
    <n v="28.6328"/>
    <n v="77.219499999999996"/>
    <s v="Connaught Place PS"/>
    <x v="1"/>
    <x v="2"/>
    <x v="2"/>
    <s v="None"/>
    <n v="22"/>
    <s v="Male"/>
    <x v="10"/>
    <n v="12"/>
    <s v="Tuesday"/>
    <x v="2"/>
  </r>
  <r>
    <d v="2026-10-20T12:42:54"/>
    <x v="2"/>
    <n v="28.6328"/>
    <n v="77.219499999999996"/>
    <s v="Connaught Place PS"/>
    <x v="4"/>
    <x v="3"/>
    <x v="1"/>
    <s v="Unknown"/>
    <n v="19"/>
    <s v="Other"/>
    <x v="10"/>
    <n v="12"/>
    <s v="Tuesday"/>
    <x v="2"/>
  </r>
  <r>
    <d v="2026-10-20T12:36:30"/>
    <x v="3"/>
    <n v="28.5562"/>
    <n v="77.099999999999994"/>
    <s v="IGI Airport PS"/>
    <x v="2"/>
    <x v="2"/>
    <x v="2"/>
    <s v="Blunt Object"/>
    <n v="18"/>
    <s v="Female"/>
    <x v="10"/>
    <n v="12"/>
    <s v="Tuesday"/>
    <x v="2"/>
  </r>
  <r>
    <d v="2026-10-20T04:39:41"/>
    <x v="7"/>
    <n v="28.656199999999998"/>
    <n v="77.231499999999997"/>
    <s v="Kotwali PS"/>
    <x v="8"/>
    <x v="2"/>
    <x v="0"/>
    <s v="None"/>
    <n v="64"/>
    <s v="Male"/>
    <x v="10"/>
    <n v="4"/>
    <s v="Tuesday"/>
    <x v="0"/>
  </r>
  <r>
    <d v="2026-10-20T00:49:38"/>
    <x v="3"/>
    <n v="28.5562"/>
    <n v="77.099999999999994"/>
    <s v="IGI Airport PS"/>
    <x v="1"/>
    <x v="0"/>
    <x v="2"/>
    <s v="None"/>
    <n v="58"/>
    <s v="Other"/>
    <x v="10"/>
    <n v="0"/>
    <s v="Tuesday"/>
    <x v="0"/>
  </r>
  <r>
    <d v="2026-10-19T22:44:26"/>
    <x v="4"/>
    <n v="28.545300000000001"/>
    <n v="77.192499999999995"/>
    <s v="Vasant Kunj North PS"/>
    <x v="1"/>
    <x v="0"/>
    <x v="1"/>
    <s v="None"/>
    <n v="48"/>
    <s v="Male"/>
    <x v="11"/>
    <n v="22"/>
    <s v="Monday"/>
    <x v="0"/>
  </r>
  <r>
    <d v="2026-10-19T22:12:44"/>
    <x v="4"/>
    <n v="28.545300000000001"/>
    <n v="77.192499999999995"/>
    <s v="Vasant Kunj North PS"/>
    <x v="7"/>
    <x v="0"/>
    <x v="1"/>
    <s v="Knife"/>
    <n v="66"/>
    <s v="Male"/>
    <x v="11"/>
    <n v="22"/>
    <s v="Monday"/>
    <x v="0"/>
  </r>
  <r>
    <d v="2026-10-19T21:09:41"/>
    <x v="1"/>
    <n v="28.567599999999999"/>
    <n v="77.209599999999995"/>
    <s v="Hauz Khas PS"/>
    <x v="1"/>
    <x v="0"/>
    <x v="2"/>
    <s v="None"/>
    <n v="35"/>
    <s v="Male"/>
    <x v="11"/>
    <n v="21"/>
    <s v="Monday"/>
    <x v="0"/>
  </r>
  <r>
    <d v="2026-10-19T21:08:26"/>
    <x v="5"/>
    <n v="28.6129"/>
    <n v="77.229500000000002"/>
    <s v="Tilak Marg PS"/>
    <x v="2"/>
    <x v="3"/>
    <x v="0"/>
    <s v="Firearm"/>
    <n v="42"/>
    <s v="Other"/>
    <x v="11"/>
    <n v="21"/>
    <s v="Monday"/>
    <x v="0"/>
  </r>
  <r>
    <d v="2026-10-19T20:40:56"/>
    <x v="7"/>
    <n v="28.656199999999998"/>
    <n v="77.231499999999997"/>
    <s v="Kotwali PS"/>
    <x v="4"/>
    <x v="0"/>
    <x v="1"/>
    <s v="Firearm"/>
    <n v="43"/>
    <s v="Male"/>
    <x v="11"/>
    <n v="20"/>
    <s v="Monday"/>
    <x v="1"/>
  </r>
  <r>
    <d v="2026-10-19T19:43:19"/>
    <x v="2"/>
    <n v="28.6328"/>
    <n v="77.219499999999996"/>
    <s v="Connaught Place PS"/>
    <x v="0"/>
    <x v="0"/>
    <x v="1"/>
    <s v="None"/>
    <n v="65"/>
    <s v="Male"/>
    <x v="11"/>
    <n v="19"/>
    <s v="Monday"/>
    <x v="1"/>
  </r>
  <r>
    <d v="2026-10-19T19:22:03"/>
    <x v="7"/>
    <n v="28.656199999999998"/>
    <n v="77.231499999999997"/>
    <s v="Kotwali PS"/>
    <x v="0"/>
    <x v="0"/>
    <x v="1"/>
    <s v="None"/>
    <n v="58"/>
    <s v="Female"/>
    <x v="11"/>
    <n v="19"/>
    <s v="Monday"/>
    <x v="1"/>
  </r>
  <r>
    <d v="2026-10-19T19:03:44"/>
    <x v="1"/>
    <n v="28.567599999999999"/>
    <n v="77.209599999999995"/>
    <s v="Hauz Khas PS"/>
    <x v="0"/>
    <x v="0"/>
    <x v="1"/>
    <s v="None"/>
    <n v="48"/>
    <s v="Other"/>
    <x v="11"/>
    <n v="19"/>
    <s v="Monday"/>
    <x v="1"/>
  </r>
  <r>
    <d v="2026-10-19T18:00:56"/>
    <x v="7"/>
    <n v="28.656199999999998"/>
    <n v="77.231499999999997"/>
    <s v="Kotwali PS"/>
    <x v="7"/>
    <x v="2"/>
    <x v="2"/>
    <s v="Knife"/>
    <n v="44"/>
    <s v="Male"/>
    <x v="11"/>
    <n v="18"/>
    <s v="Monday"/>
    <x v="1"/>
  </r>
  <r>
    <d v="2026-10-19T14:53:43"/>
    <x v="7"/>
    <n v="28.656199999999998"/>
    <n v="77.231499999999997"/>
    <s v="Kotwali PS"/>
    <x v="7"/>
    <x v="3"/>
    <x v="2"/>
    <s v="Knife"/>
    <n v="23"/>
    <s v="Other"/>
    <x v="11"/>
    <n v="14"/>
    <s v="Monday"/>
    <x v="2"/>
  </r>
  <r>
    <d v="2026-10-19T12:37:12"/>
    <x v="7"/>
    <n v="28.656199999999998"/>
    <n v="77.231499999999997"/>
    <s v="Kotwali PS"/>
    <x v="1"/>
    <x v="0"/>
    <x v="2"/>
    <s v="None"/>
    <n v="44"/>
    <s v="Female"/>
    <x v="11"/>
    <n v="12"/>
    <s v="Monday"/>
    <x v="2"/>
  </r>
  <r>
    <d v="2026-10-19T11:54:31"/>
    <x v="1"/>
    <n v="28.567599999999999"/>
    <n v="77.209599999999995"/>
    <s v="Hauz Khas PS"/>
    <x v="7"/>
    <x v="3"/>
    <x v="3"/>
    <s v="Knife"/>
    <n v="42"/>
    <s v="Male"/>
    <x v="11"/>
    <n v="11"/>
    <s v="Monday"/>
    <x v="3"/>
  </r>
  <r>
    <d v="2026-10-19T11:32:35"/>
    <x v="6"/>
    <n v="28.571400000000001"/>
    <n v="77.281300000000002"/>
    <s v="Sunlight Colony PS"/>
    <x v="6"/>
    <x v="2"/>
    <x v="2"/>
    <s v="Unknown"/>
    <n v="56"/>
    <s v="Other"/>
    <x v="11"/>
    <n v="11"/>
    <s v="Monday"/>
    <x v="3"/>
  </r>
  <r>
    <d v="2026-10-19T08:27:23"/>
    <x v="4"/>
    <n v="28.545300000000001"/>
    <n v="77.192499999999995"/>
    <s v="Vasant Kunj North PS"/>
    <x v="1"/>
    <x v="2"/>
    <x v="1"/>
    <s v="None"/>
    <n v="41"/>
    <s v="Other"/>
    <x v="11"/>
    <n v="8"/>
    <s v="Monday"/>
    <x v="3"/>
  </r>
  <r>
    <d v="2026-10-19T06:10:17"/>
    <x v="4"/>
    <n v="28.545300000000001"/>
    <n v="77.192499999999995"/>
    <s v="Vasant Kunj North PS"/>
    <x v="1"/>
    <x v="3"/>
    <x v="1"/>
    <s v="None"/>
    <n v="63"/>
    <s v="Female"/>
    <x v="11"/>
    <n v="6"/>
    <s v="Monday"/>
    <x v="3"/>
  </r>
  <r>
    <d v="2026-10-19T03:13:21"/>
    <x v="2"/>
    <n v="28.6328"/>
    <n v="77.219499999999996"/>
    <s v="Connaught Place PS"/>
    <x v="0"/>
    <x v="2"/>
    <x v="1"/>
    <s v="None"/>
    <n v="40"/>
    <s v="Other"/>
    <x v="11"/>
    <n v="3"/>
    <s v="Monday"/>
    <x v="0"/>
  </r>
  <r>
    <d v="2026-10-19T01:02:32"/>
    <x v="0"/>
    <n v="28.632999999999999"/>
    <n v="77.2196"/>
    <s v="Connaught Place PS"/>
    <x v="2"/>
    <x v="3"/>
    <x v="0"/>
    <s v="Knife"/>
    <n v="19"/>
    <s v="Female"/>
    <x v="11"/>
    <n v="1"/>
    <s v="Monday"/>
    <x v="0"/>
  </r>
  <r>
    <d v="2026-10-19T00:18:56"/>
    <x v="0"/>
    <n v="28.632999999999999"/>
    <n v="77.2196"/>
    <s v="Connaught Place PS"/>
    <x v="8"/>
    <x v="3"/>
    <x v="0"/>
    <s v="None"/>
    <n v="48"/>
    <s v="Female"/>
    <x v="11"/>
    <n v="0"/>
    <s v="Monday"/>
    <x v="0"/>
  </r>
  <r>
    <d v="2026-10-18T23:13:57"/>
    <x v="5"/>
    <n v="28.6129"/>
    <n v="77.229500000000002"/>
    <s v="Tilak Marg PS"/>
    <x v="6"/>
    <x v="2"/>
    <x v="1"/>
    <s v="Unknown"/>
    <n v="69"/>
    <s v="Other"/>
    <x v="12"/>
    <n v="23"/>
    <s v="Sunday"/>
    <x v="0"/>
  </r>
  <r>
    <d v="2026-10-18T18:46:37"/>
    <x v="4"/>
    <n v="28.545300000000001"/>
    <n v="77.192499999999995"/>
    <s v="Vasant Kunj North PS"/>
    <x v="4"/>
    <x v="1"/>
    <x v="1"/>
    <s v="None"/>
    <n v="37"/>
    <s v="Other"/>
    <x v="12"/>
    <n v="18"/>
    <s v="Sunday"/>
    <x v="1"/>
  </r>
  <r>
    <d v="2026-10-18T18:28:55"/>
    <x v="0"/>
    <n v="28.632999999999999"/>
    <n v="77.2196"/>
    <s v="Connaught Place PS"/>
    <x v="7"/>
    <x v="0"/>
    <x v="3"/>
    <s v="Blunt Object"/>
    <n v="65"/>
    <s v="Male"/>
    <x v="12"/>
    <n v="18"/>
    <s v="Sunday"/>
    <x v="1"/>
  </r>
  <r>
    <d v="2026-10-18T16:30:29"/>
    <x v="1"/>
    <n v="28.567599999999999"/>
    <n v="77.209599999999995"/>
    <s v="Hauz Khas PS"/>
    <x v="2"/>
    <x v="1"/>
    <x v="1"/>
    <s v="Unknown"/>
    <n v="44"/>
    <s v="Other"/>
    <x v="12"/>
    <n v="16"/>
    <s v="Sunday"/>
    <x v="2"/>
  </r>
  <r>
    <d v="2026-10-18T15:34:49"/>
    <x v="3"/>
    <n v="28.5562"/>
    <n v="77.099999999999994"/>
    <s v="IGI Airport PS"/>
    <x v="1"/>
    <x v="3"/>
    <x v="3"/>
    <s v="None"/>
    <n v="33"/>
    <s v="Other"/>
    <x v="12"/>
    <n v="15"/>
    <s v="Sunday"/>
    <x v="2"/>
  </r>
  <r>
    <d v="2026-10-18T14:31:55"/>
    <x v="1"/>
    <n v="28.567599999999999"/>
    <n v="77.209599999999995"/>
    <s v="Hauz Khas PS"/>
    <x v="6"/>
    <x v="0"/>
    <x v="1"/>
    <s v="Knife"/>
    <n v="66"/>
    <s v="Female"/>
    <x v="12"/>
    <n v="14"/>
    <s v="Sunday"/>
    <x v="2"/>
  </r>
  <r>
    <d v="2026-10-18T13:42:42"/>
    <x v="3"/>
    <n v="28.5562"/>
    <n v="77.099999999999994"/>
    <s v="IGI Airport PS"/>
    <x v="6"/>
    <x v="0"/>
    <x v="0"/>
    <s v="None"/>
    <n v="26"/>
    <s v="Other"/>
    <x v="12"/>
    <n v="13"/>
    <s v="Sunday"/>
    <x v="2"/>
  </r>
  <r>
    <d v="2026-10-18T12:44:57"/>
    <x v="5"/>
    <n v="28.6129"/>
    <n v="77.229500000000002"/>
    <s v="Tilak Marg PS"/>
    <x v="4"/>
    <x v="0"/>
    <x v="1"/>
    <s v="None"/>
    <n v="51"/>
    <s v="Other"/>
    <x v="12"/>
    <n v="12"/>
    <s v="Sunday"/>
    <x v="2"/>
  </r>
  <r>
    <d v="2026-10-18T11:15:48"/>
    <x v="4"/>
    <n v="28.545300000000001"/>
    <n v="77.192499999999995"/>
    <s v="Vasant Kunj North PS"/>
    <x v="5"/>
    <x v="0"/>
    <x v="1"/>
    <s v="None"/>
    <n v="23"/>
    <s v="Other"/>
    <x v="12"/>
    <n v="11"/>
    <s v="Sunday"/>
    <x v="3"/>
  </r>
  <r>
    <d v="2026-10-18T10:18:58"/>
    <x v="4"/>
    <n v="28.545300000000001"/>
    <n v="77.192499999999995"/>
    <s v="Vasant Kunj North PS"/>
    <x v="1"/>
    <x v="3"/>
    <x v="1"/>
    <s v="None"/>
    <n v="53"/>
    <s v="Other"/>
    <x v="12"/>
    <n v="10"/>
    <s v="Sunday"/>
    <x v="3"/>
  </r>
  <r>
    <d v="2026-10-18T07:51:10"/>
    <x v="1"/>
    <n v="28.567599999999999"/>
    <n v="77.209599999999995"/>
    <s v="Hauz Khas PS"/>
    <x v="1"/>
    <x v="2"/>
    <x v="2"/>
    <s v="None"/>
    <n v="22"/>
    <s v="Male"/>
    <x v="12"/>
    <n v="7"/>
    <s v="Sunday"/>
    <x v="3"/>
  </r>
  <r>
    <d v="2026-10-18T07:11:17"/>
    <x v="5"/>
    <n v="28.6129"/>
    <n v="77.229500000000002"/>
    <s v="Tilak Marg PS"/>
    <x v="2"/>
    <x v="1"/>
    <x v="0"/>
    <s v="Blunt Object"/>
    <n v="31"/>
    <s v="Other"/>
    <x v="12"/>
    <n v="7"/>
    <s v="Sunday"/>
    <x v="3"/>
  </r>
  <r>
    <d v="2026-10-18T05:17:19"/>
    <x v="1"/>
    <n v="28.567599999999999"/>
    <n v="77.209599999999995"/>
    <s v="Hauz Khas PS"/>
    <x v="5"/>
    <x v="2"/>
    <x v="0"/>
    <s v="None"/>
    <n v="18"/>
    <s v="Other"/>
    <x v="12"/>
    <n v="5"/>
    <s v="Sunday"/>
    <x v="0"/>
  </r>
  <r>
    <d v="2026-10-18T02:54:26"/>
    <x v="2"/>
    <n v="28.6328"/>
    <n v="77.219499999999996"/>
    <s v="Connaught Place PS"/>
    <x v="2"/>
    <x v="0"/>
    <x v="2"/>
    <s v="Blunt Object"/>
    <n v="67"/>
    <s v="Other"/>
    <x v="12"/>
    <n v="2"/>
    <s v="Sunday"/>
    <x v="0"/>
  </r>
  <r>
    <d v="2026-10-18T01:48:56"/>
    <x v="0"/>
    <n v="28.632999999999999"/>
    <n v="77.2196"/>
    <s v="Connaught Place PS"/>
    <x v="4"/>
    <x v="3"/>
    <x v="1"/>
    <s v="Unknown"/>
    <n v="21"/>
    <s v="Other"/>
    <x v="12"/>
    <n v="1"/>
    <s v="Sunday"/>
    <x v="0"/>
  </r>
  <r>
    <d v="2026-10-17T23:15:58"/>
    <x v="4"/>
    <n v="28.545300000000001"/>
    <n v="77.192499999999995"/>
    <s v="Vasant Kunj North PS"/>
    <x v="0"/>
    <x v="0"/>
    <x v="2"/>
    <s v="None"/>
    <n v="56"/>
    <s v="Male"/>
    <x v="13"/>
    <n v="23"/>
    <s v="Saturday"/>
    <x v="0"/>
  </r>
  <r>
    <d v="2026-10-17T23:00:52"/>
    <x v="5"/>
    <n v="28.6129"/>
    <n v="77.229500000000002"/>
    <s v="Tilak Marg PS"/>
    <x v="2"/>
    <x v="0"/>
    <x v="2"/>
    <s v="Firearm"/>
    <n v="35"/>
    <s v="Female"/>
    <x v="13"/>
    <n v="23"/>
    <s v="Saturday"/>
    <x v="0"/>
  </r>
  <r>
    <d v="2026-10-17T21:18:05"/>
    <x v="7"/>
    <n v="28.656199999999998"/>
    <n v="77.231499999999997"/>
    <s v="Kotwali PS"/>
    <x v="7"/>
    <x v="3"/>
    <x v="0"/>
    <s v="Firearm"/>
    <n v="61"/>
    <s v="Other"/>
    <x v="13"/>
    <n v="21"/>
    <s v="Saturday"/>
    <x v="0"/>
  </r>
  <r>
    <d v="2026-10-17T19:37:18"/>
    <x v="2"/>
    <n v="28.6328"/>
    <n v="77.219499999999996"/>
    <s v="Connaught Place PS"/>
    <x v="1"/>
    <x v="0"/>
    <x v="1"/>
    <s v="None"/>
    <n v="57"/>
    <s v="Other"/>
    <x v="13"/>
    <n v="19"/>
    <s v="Saturday"/>
    <x v="1"/>
  </r>
  <r>
    <d v="2026-10-17T19:16:37"/>
    <x v="0"/>
    <n v="28.632999999999999"/>
    <n v="77.2196"/>
    <s v="Connaught Place PS"/>
    <x v="7"/>
    <x v="0"/>
    <x v="0"/>
    <s v="Blunt Object"/>
    <n v="75"/>
    <s v="Male"/>
    <x v="13"/>
    <n v="19"/>
    <s v="Saturday"/>
    <x v="1"/>
  </r>
  <r>
    <d v="2026-10-17T18:15:37"/>
    <x v="7"/>
    <n v="28.656199999999998"/>
    <n v="77.231499999999997"/>
    <s v="Kotwali PS"/>
    <x v="3"/>
    <x v="1"/>
    <x v="1"/>
    <s v="Unknown"/>
    <n v="66"/>
    <s v="Male"/>
    <x v="13"/>
    <n v="18"/>
    <s v="Saturday"/>
    <x v="1"/>
  </r>
  <r>
    <d v="2026-10-17T17:27:39"/>
    <x v="6"/>
    <n v="28.571400000000001"/>
    <n v="77.281300000000002"/>
    <s v="Sunlight Colony PS"/>
    <x v="0"/>
    <x v="1"/>
    <x v="2"/>
    <s v="None"/>
    <n v="47"/>
    <s v="Other"/>
    <x v="13"/>
    <n v="17"/>
    <s v="Saturday"/>
    <x v="1"/>
  </r>
  <r>
    <d v="2026-10-17T13:49:27"/>
    <x v="2"/>
    <n v="28.6328"/>
    <n v="77.219499999999996"/>
    <s v="Connaught Place PS"/>
    <x v="1"/>
    <x v="0"/>
    <x v="2"/>
    <s v="None"/>
    <n v="38"/>
    <s v="Other"/>
    <x v="13"/>
    <n v="13"/>
    <s v="Saturday"/>
    <x v="2"/>
  </r>
  <r>
    <d v="2026-10-17T12:49:32"/>
    <x v="3"/>
    <n v="28.5562"/>
    <n v="77.099999999999994"/>
    <s v="IGI Airport PS"/>
    <x v="6"/>
    <x v="0"/>
    <x v="3"/>
    <s v="Knife"/>
    <n v="72"/>
    <s v="Other"/>
    <x v="13"/>
    <n v="12"/>
    <s v="Saturday"/>
    <x v="2"/>
  </r>
  <r>
    <d v="2026-10-17T09:27:51"/>
    <x v="6"/>
    <n v="28.571400000000001"/>
    <n v="77.281300000000002"/>
    <s v="Sunlight Colony PS"/>
    <x v="5"/>
    <x v="0"/>
    <x v="0"/>
    <s v="None"/>
    <n v="72"/>
    <s v="Male"/>
    <x v="13"/>
    <n v="9"/>
    <s v="Saturday"/>
    <x v="3"/>
  </r>
  <r>
    <d v="2026-10-17T08:06:54"/>
    <x v="5"/>
    <n v="28.6129"/>
    <n v="77.229500000000002"/>
    <s v="Tilak Marg PS"/>
    <x v="2"/>
    <x v="0"/>
    <x v="0"/>
    <s v="Firearm"/>
    <n v="52"/>
    <s v="Male"/>
    <x v="13"/>
    <n v="8"/>
    <s v="Saturday"/>
    <x v="3"/>
  </r>
  <r>
    <d v="2026-10-17T07:53:58"/>
    <x v="4"/>
    <n v="28.545300000000001"/>
    <n v="77.192499999999995"/>
    <s v="Vasant Kunj North PS"/>
    <x v="4"/>
    <x v="3"/>
    <x v="2"/>
    <s v="Unknown"/>
    <n v="54"/>
    <s v="Male"/>
    <x v="13"/>
    <n v="7"/>
    <s v="Saturday"/>
    <x v="3"/>
  </r>
  <r>
    <d v="2026-10-17T06:56:45"/>
    <x v="2"/>
    <n v="28.6328"/>
    <n v="77.219499999999996"/>
    <s v="Connaught Place PS"/>
    <x v="2"/>
    <x v="0"/>
    <x v="1"/>
    <s v="Knife"/>
    <n v="62"/>
    <s v="Female"/>
    <x v="13"/>
    <n v="6"/>
    <s v="Saturday"/>
    <x v="3"/>
  </r>
  <r>
    <d v="2026-10-17T01:05:39"/>
    <x v="0"/>
    <n v="28.632999999999999"/>
    <n v="77.2196"/>
    <s v="Connaught Place PS"/>
    <x v="3"/>
    <x v="0"/>
    <x v="3"/>
    <s v="None"/>
    <n v="22"/>
    <s v="Other"/>
    <x v="13"/>
    <n v="1"/>
    <s v="Saturday"/>
    <x v="0"/>
  </r>
  <r>
    <d v="2026-10-17T00:27:54"/>
    <x v="4"/>
    <n v="28.545300000000001"/>
    <n v="77.192499999999995"/>
    <s v="Vasant Kunj North PS"/>
    <x v="2"/>
    <x v="0"/>
    <x v="1"/>
    <s v="Blunt Object"/>
    <n v="57"/>
    <s v="Other"/>
    <x v="13"/>
    <n v="0"/>
    <s v="Saturday"/>
    <x v="0"/>
  </r>
  <r>
    <d v="2026-10-17T00:24:32"/>
    <x v="0"/>
    <n v="28.632999999999999"/>
    <n v="77.2196"/>
    <s v="Connaught Place PS"/>
    <x v="1"/>
    <x v="0"/>
    <x v="0"/>
    <s v="None"/>
    <n v="41"/>
    <s v="Female"/>
    <x v="13"/>
    <n v="0"/>
    <s v="Saturday"/>
    <x v="0"/>
  </r>
  <r>
    <d v="2026-10-17T00:16:44"/>
    <x v="4"/>
    <n v="28.545300000000001"/>
    <n v="77.192499999999995"/>
    <s v="Vasant Kunj North PS"/>
    <x v="2"/>
    <x v="0"/>
    <x v="2"/>
    <s v="Knife"/>
    <n v="38"/>
    <s v="Male"/>
    <x v="13"/>
    <n v="0"/>
    <s v="Saturday"/>
    <x v="0"/>
  </r>
  <r>
    <d v="2026-10-16T23:58:27"/>
    <x v="3"/>
    <n v="28.5562"/>
    <n v="77.099999999999994"/>
    <s v="IGI Airport PS"/>
    <x v="0"/>
    <x v="2"/>
    <x v="2"/>
    <s v="None"/>
    <n v="23"/>
    <s v="Male"/>
    <x v="14"/>
    <n v="23"/>
    <s v="Friday"/>
    <x v="0"/>
  </r>
  <r>
    <d v="2026-10-16T22:49:16"/>
    <x v="5"/>
    <n v="28.6129"/>
    <n v="77.229500000000002"/>
    <s v="Tilak Marg PS"/>
    <x v="5"/>
    <x v="0"/>
    <x v="0"/>
    <s v="None"/>
    <n v="46"/>
    <s v="Other"/>
    <x v="14"/>
    <n v="22"/>
    <s v="Friday"/>
    <x v="0"/>
  </r>
  <r>
    <d v="2026-10-16T21:36:22"/>
    <x v="2"/>
    <n v="28.6328"/>
    <n v="77.219499999999996"/>
    <s v="Connaught Place PS"/>
    <x v="5"/>
    <x v="0"/>
    <x v="1"/>
    <s v="None"/>
    <n v="33"/>
    <s v="Male"/>
    <x v="14"/>
    <n v="21"/>
    <s v="Friday"/>
    <x v="0"/>
  </r>
  <r>
    <d v="2026-10-16T20:28:19"/>
    <x v="1"/>
    <n v="28.567599999999999"/>
    <n v="77.209599999999995"/>
    <s v="Hauz Khas PS"/>
    <x v="2"/>
    <x v="3"/>
    <x v="1"/>
    <s v="Blunt Object"/>
    <n v="48"/>
    <s v="Male"/>
    <x v="14"/>
    <n v="20"/>
    <s v="Friday"/>
    <x v="1"/>
  </r>
  <r>
    <d v="2026-10-16T17:14:25"/>
    <x v="4"/>
    <n v="28.545300000000001"/>
    <n v="77.192499999999995"/>
    <s v="Vasant Kunj North PS"/>
    <x v="1"/>
    <x v="0"/>
    <x v="1"/>
    <s v="None"/>
    <n v="38"/>
    <s v="Male"/>
    <x v="14"/>
    <n v="17"/>
    <s v="Friday"/>
    <x v="1"/>
  </r>
  <r>
    <d v="2026-10-16T16:58:21"/>
    <x v="7"/>
    <n v="28.656199999999998"/>
    <n v="77.231499999999997"/>
    <s v="Kotwali PS"/>
    <x v="7"/>
    <x v="0"/>
    <x v="2"/>
    <s v="Blunt Object"/>
    <n v="73"/>
    <s v="Male"/>
    <x v="14"/>
    <n v="16"/>
    <s v="Friday"/>
    <x v="2"/>
  </r>
  <r>
    <d v="2026-10-16T15:46:58"/>
    <x v="7"/>
    <n v="28.656199999999998"/>
    <n v="77.231499999999997"/>
    <s v="Kotwali PS"/>
    <x v="4"/>
    <x v="0"/>
    <x v="2"/>
    <s v="None"/>
    <n v="38"/>
    <s v="Other"/>
    <x v="14"/>
    <n v="15"/>
    <s v="Friday"/>
    <x v="2"/>
  </r>
  <r>
    <d v="2026-10-16T15:27:57"/>
    <x v="7"/>
    <n v="28.656199999999998"/>
    <n v="77.231499999999997"/>
    <s v="Kotwali PS"/>
    <x v="5"/>
    <x v="2"/>
    <x v="0"/>
    <s v="None"/>
    <n v="68"/>
    <s v="Female"/>
    <x v="14"/>
    <n v="15"/>
    <s v="Friday"/>
    <x v="2"/>
  </r>
  <r>
    <d v="2026-10-16T14:49:46"/>
    <x v="2"/>
    <n v="28.6328"/>
    <n v="77.219499999999996"/>
    <s v="Connaught Place PS"/>
    <x v="5"/>
    <x v="0"/>
    <x v="1"/>
    <s v="None"/>
    <n v="48"/>
    <s v="Other"/>
    <x v="14"/>
    <n v="14"/>
    <s v="Friday"/>
    <x v="2"/>
  </r>
  <r>
    <d v="2026-10-16T11:38:17"/>
    <x v="3"/>
    <n v="28.5562"/>
    <n v="77.099999999999994"/>
    <s v="IGI Airport PS"/>
    <x v="1"/>
    <x v="3"/>
    <x v="2"/>
    <s v="None"/>
    <n v="23"/>
    <s v="Female"/>
    <x v="14"/>
    <n v="11"/>
    <s v="Friday"/>
    <x v="3"/>
  </r>
  <r>
    <d v="2026-10-16T10:50:14"/>
    <x v="6"/>
    <n v="28.571400000000001"/>
    <n v="77.281300000000002"/>
    <s v="Sunlight Colony PS"/>
    <x v="2"/>
    <x v="0"/>
    <x v="2"/>
    <s v="None"/>
    <n v="51"/>
    <s v="Other"/>
    <x v="14"/>
    <n v="10"/>
    <s v="Friday"/>
    <x v="3"/>
  </r>
  <r>
    <d v="2026-10-16T09:58:51"/>
    <x v="6"/>
    <n v="28.571400000000001"/>
    <n v="77.281300000000002"/>
    <s v="Sunlight Colony PS"/>
    <x v="1"/>
    <x v="3"/>
    <x v="0"/>
    <s v="None"/>
    <n v="32"/>
    <s v="Other"/>
    <x v="14"/>
    <n v="9"/>
    <s v="Friday"/>
    <x v="3"/>
  </r>
  <r>
    <d v="2026-10-16T07:50:56"/>
    <x v="0"/>
    <n v="28.632999999999999"/>
    <n v="77.2196"/>
    <s v="Connaught Place PS"/>
    <x v="5"/>
    <x v="2"/>
    <x v="2"/>
    <s v="None"/>
    <n v="28"/>
    <s v="Male"/>
    <x v="14"/>
    <n v="7"/>
    <s v="Friday"/>
    <x v="3"/>
  </r>
  <r>
    <d v="2026-10-16T04:07:05"/>
    <x v="1"/>
    <n v="28.567599999999999"/>
    <n v="77.209599999999995"/>
    <s v="Hauz Khas PS"/>
    <x v="4"/>
    <x v="0"/>
    <x v="2"/>
    <s v="Firearm"/>
    <n v="26"/>
    <s v="Other"/>
    <x v="14"/>
    <n v="4"/>
    <s v="Friday"/>
    <x v="0"/>
  </r>
  <r>
    <d v="2026-10-16T02:50:50"/>
    <x v="1"/>
    <n v="28.567599999999999"/>
    <n v="77.209599999999995"/>
    <s v="Hauz Khas PS"/>
    <x v="8"/>
    <x v="3"/>
    <x v="1"/>
    <s v="None"/>
    <n v="69"/>
    <s v="Male"/>
    <x v="14"/>
    <n v="2"/>
    <s v="Friday"/>
    <x v="0"/>
  </r>
  <r>
    <d v="2026-10-15T23:56:28"/>
    <x v="3"/>
    <n v="28.5562"/>
    <n v="77.099999999999994"/>
    <s v="IGI Airport PS"/>
    <x v="2"/>
    <x v="1"/>
    <x v="1"/>
    <s v="Unknown"/>
    <n v="26"/>
    <s v="Female"/>
    <x v="15"/>
    <n v="23"/>
    <s v="Thursday"/>
    <x v="0"/>
  </r>
  <r>
    <d v="2026-10-15T22:23:07"/>
    <x v="6"/>
    <n v="28.571400000000001"/>
    <n v="77.281300000000002"/>
    <s v="Sunlight Colony PS"/>
    <x v="1"/>
    <x v="0"/>
    <x v="0"/>
    <s v="None"/>
    <n v="42"/>
    <s v="Other"/>
    <x v="15"/>
    <n v="22"/>
    <s v="Thursday"/>
    <x v="0"/>
  </r>
  <r>
    <d v="2026-10-15T19:00:11"/>
    <x v="7"/>
    <n v="28.656199999999998"/>
    <n v="77.231499999999997"/>
    <s v="Kotwali PS"/>
    <x v="7"/>
    <x v="0"/>
    <x v="2"/>
    <s v="Blunt Object"/>
    <n v="74"/>
    <s v="Other"/>
    <x v="15"/>
    <n v="19"/>
    <s v="Thursday"/>
    <x v="1"/>
  </r>
  <r>
    <d v="2026-10-15T17:26:03"/>
    <x v="1"/>
    <n v="28.567599999999999"/>
    <n v="77.209599999999995"/>
    <s v="Hauz Khas PS"/>
    <x v="1"/>
    <x v="0"/>
    <x v="3"/>
    <s v="None"/>
    <n v="67"/>
    <s v="Male"/>
    <x v="15"/>
    <n v="17"/>
    <s v="Thursday"/>
    <x v="1"/>
  </r>
  <r>
    <d v="2026-10-15T17:06:07"/>
    <x v="6"/>
    <n v="28.571400000000001"/>
    <n v="77.281300000000002"/>
    <s v="Sunlight Colony PS"/>
    <x v="3"/>
    <x v="0"/>
    <x v="2"/>
    <s v="None"/>
    <n v="60"/>
    <s v="Other"/>
    <x v="15"/>
    <n v="17"/>
    <s v="Thursday"/>
    <x v="1"/>
  </r>
  <r>
    <d v="2026-10-15T13:46:58"/>
    <x v="7"/>
    <n v="28.656199999999998"/>
    <n v="77.231499999999997"/>
    <s v="Kotwali PS"/>
    <x v="0"/>
    <x v="0"/>
    <x v="0"/>
    <s v="None"/>
    <n v="73"/>
    <s v="Male"/>
    <x v="15"/>
    <n v="13"/>
    <s v="Thursday"/>
    <x v="2"/>
  </r>
  <r>
    <d v="2026-10-15T13:12:57"/>
    <x v="4"/>
    <n v="28.545300000000001"/>
    <n v="77.192499999999995"/>
    <s v="Vasant Kunj North PS"/>
    <x v="7"/>
    <x v="2"/>
    <x v="2"/>
    <s v="Knife"/>
    <n v="63"/>
    <s v="Male"/>
    <x v="15"/>
    <n v="13"/>
    <s v="Thursday"/>
    <x v="2"/>
  </r>
  <r>
    <d v="2026-10-15T11:24:28"/>
    <x v="4"/>
    <n v="28.545300000000001"/>
    <n v="77.192499999999995"/>
    <s v="Vasant Kunj North PS"/>
    <x v="0"/>
    <x v="2"/>
    <x v="2"/>
    <s v="None"/>
    <n v="67"/>
    <s v="Other"/>
    <x v="15"/>
    <n v="11"/>
    <s v="Thursday"/>
    <x v="3"/>
  </r>
  <r>
    <d v="2026-10-15T09:53:23"/>
    <x v="3"/>
    <n v="28.5562"/>
    <n v="77.099999999999994"/>
    <s v="IGI Airport PS"/>
    <x v="1"/>
    <x v="2"/>
    <x v="2"/>
    <s v="None"/>
    <n v="41"/>
    <s v="Female"/>
    <x v="15"/>
    <n v="9"/>
    <s v="Thursday"/>
    <x v="3"/>
  </r>
  <r>
    <d v="2026-10-15T09:34:55"/>
    <x v="1"/>
    <n v="28.567599999999999"/>
    <n v="77.209599999999995"/>
    <s v="Hauz Khas PS"/>
    <x v="5"/>
    <x v="0"/>
    <x v="2"/>
    <s v="None"/>
    <n v="58"/>
    <s v="Male"/>
    <x v="15"/>
    <n v="9"/>
    <s v="Thursday"/>
    <x v="3"/>
  </r>
  <r>
    <d v="2026-10-15T05:23:27"/>
    <x v="5"/>
    <n v="28.6129"/>
    <n v="77.229500000000002"/>
    <s v="Tilak Marg PS"/>
    <x v="0"/>
    <x v="0"/>
    <x v="3"/>
    <s v="None"/>
    <n v="61"/>
    <s v="Female"/>
    <x v="15"/>
    <n v="5"/>
    <s v="Thursday"/>
    <x v="0"/>
  </r>
  <r>
    <d v="2026-10-15T04:28:25"/>
    <x v="2"/>
    <n v="28.6328"/>
    <n v="77.219499999999996"/>
    <s v="Connaught Place PS"/>
    <x v="3"/>
    <x v="0"/>
    <x v="2"/>
    <s v="Unknown"/>
    <n v="46"/>
    <s v="Male"/>
    <x v="15"/>
    <n v="4"/>
    <s v="Thursday"/>
    <x v="0"/>
  </r>
  <r>
    <d v="2026-10-15T02:08:35"/>
    <x v="5"/>
    <n v="28.6129"/>
    <n v="77.229500000000002"/>
    <s v="Tilak Marg PS"/>
    <x v="2"/>
    <x v="3"/>
    <x v="1"/>
    <s v="Unknown"/>
    <n v="23"/>
    <s v="Other"/>
    <x v="15"/>
    <n v="2"/>
    <s v="Thursday"/>
    <x v="0"/>
  </r>
  <r>
    <d v="2026-10-15T01:49:42"/>
    <x v="0"/>
    <n v="28.632999999999999"/>
    <n v="77.2196"/>
    <s v="Connaught Place PS"/>
    <x v="5"/>
    <x v="0"/>
    <x v="0"/>
    <s v="None"/>
    <n v="63"/>
    <s v="Male"/>
    <x v="15"/>
    <n v="1"/>
    <s v="Thursday"/>
    <x v="0"/>
  </r>
  <r>
    <d v="2026-10-15T00:48:50"/>
    <x v="5"/>
    <n v="28.6129"/>
    <n v="77.229500000000002"/>
    <s v="Tilak Marg PS"/>
    <x v="2"/>
    <x v="3"/>
    <x v="1"/>
    <s v="None"/>
    <n v="59"/>
    <s v="Other"/>
    <x v="15"/>
    <n v="0"/>
    <s v="Thursday"/>
    <x v="0"/>
  </r>
  <r>
    <d v="2026-10-14T23:53:06"/>
    <x v="3"/>
    <n v="28.5562"/>
    <n v="77.099999999999994"/>
    <s v="IGI Airport PS"/>
    <x v="0"/>
    <x v="1"/>
    <x v="2"/>
    <s v="None"/>
    <n v="21"/>
    <s v="Male"/>
    <x v="16"/>
    <n v="23"/>
    <s v="Wednesday"/>
    <x v="0"/>
  </r>
  <r>
    <d v="2026-10-14T19:09:58"/>
    <x v="4"/>
    <n v="28.545300000000001"/>
    <n v="77.192499999999995"/>
    <s v="Vasant Kunj North PS"/>
    <x v="1"/>
    <x v="3"/>
    <x v="3"/>
    <s v="None"/>
    <n v="25"/>
    <s v="Other"/>
    <x v="16"/>
    <n v="19"/>
    <s v="Wednesday"/>
    <x v="1"/>
  </r>
  <r>
    <d v="2026-10-14T16:29:54"/>
    <x v="2"/>
    <n v="28.6328"/>
    <n v="77.219499999999996"/>
    <s v="Connaught Place PS"/>
    <x v="5"/>
    <x v="0"/>
    <x v="3"/>
    <s v="None"/>
    <n v="53"/>
    <s v="Female"/>
    <x v="16"/>
    <n v="16"/>
    <s v="Wednesday"/>
    <x v="2"/>
  </r>
  <r>
    <d v="2026-10-14T16:01:32"/>
    <x v="5"/>
    <n v="28.6129"/>
    <n v="77.229500000000002"/>
    <s v="Tilak Marg PS"/>
    <x v="0"/>
    <x v="0"/>
    <x v="2"/>
    <s v="None"/>
    <n v="36"/>
    <s v="Other"/>
    <x v="16"/>
    <n v="16"/>
    <s v="Wednesday"/>
    <x v="2"/>
  </r>
  <r>
    <d v="2026-10-14T14:51:08"/>
    <x v="4"/>
    <n v="28.545300000000001"/>
    <n v="77.192499999999995"/>
    <s v="Vasant Kunj North PS"/>
    <x v="2"/>
    <x v="1"/>
    <x v="1"/>
    <s v="Knife"/>
    <n v="22"/>
    <s v="Other"/>
    <x v="16"/>
    <n v="14"/>
    <s v="Wednesday"/>
    <x v="2"/>
  </r>
  <r>
    <d v="2026-10-14T14:24:16"/>
    <x v="0"/>
    <n v="28.632999999999999"/>
    <n v="77.2196"/>
    <s v="Connaught Place PS"/>
    <x v="6"/>
    <x v="2"/>
    <x v="3"/>
    <s v="Firearm"/>
    <n v="53"/>
    <s v="Other"/>
    <x v="16"/>
    <n v="14"/>
    <s v="Wednesday"/>
    <x v="2"/>
  </r>
  <r>
    <d v="2026-10-14T14:06:53"/>
    <x v="6"/>
    <n v="28.571400000000001"/>
    <n v="77.281300000000002"/>
    <s v="Sunlight Colony PS"/>
    <x v="4"/>
    <x v="1"/>
    <x v="2"/>
    <s v="Knife"/>
    <n v="46"/>
    <s v="Other"/>
    <x v="16"/>
    <n v="14"/>
    <s v="Wednesday"/>
    <x v="2"/>
  </r>
  <r>
    <d v="2026-10-14T14:00:43"/>
    <x v="6"/>
    <n v="28.571400000000001"/>
    <n v="77.281300000000002"/>
    <s v="Sunlight Colony PS"/>
    <x v="1"/>
    <x v="2"/>
    <x v="3"/>
    <s v="None"/>
    <n v="58"/>
    <s v="Female"/>
    <x v="16"/>
    <n v="14"/>
    <s v="Wednesday"/>
    <x v="2"/>
  </r>
  <r>
    <d v="2026-10-14T13:55:36"/>
    <x v="0"/>
    <n v="28.632999999999999"/>
    <n v="77.2196"/>
    <s v="Connaught Place PS"/>
    <x v="4"/>
    <x v="1"/>
    <x v="2"/>
    <s v="Firearm"/>
    <n v="59"/>
    <s v="Other"/>
    <x v="16"/>
    <n v="13"/>
    <s v="Wednesday"/>
    <x v="2"/>
  </r>
  <r>
    <d v="2026-10-14T10:55:19"/>
    <x v="4"/>
    <n v="28.545300000000001"/>
    <n v="77.192499999999995"/>
    <s v="Vasant Kunj North PS"/>
    <x v="2"/>
    <x v="3"/>
    <x v="0"/>
    <s v="Firearm"/>
    <n v="40"/>
    <s v="Female"/>
    <x v="16"/>
    <n v="10"/>
    <s v="Wednesday"/>
    <x v="3"/>
  </r>
  <r>
    <d v="2026-10-14T10:48:41"/>
    <x v="3"/>
    <n v="28.5562"/>
    <n v="77.099999999999994"/>
    <s v="IGI Airport PS"/>
    <x v="1"/>
    <x v="3"/>
    <x v="3"/>
    <s v="None"/>
    <n v="49"/>
    <s v="Female"/>
    <x v="16"/>
    <n v="10"/>
    <s v="Wednesday"/>
    <x v="3"/>
  </r>
  <r>
    <d v="2026-10-14T06:08:27"/>
    <x v="1"/>
    <n v="28.567599999999999"/>
    <n v="77.209599999999995"/>
    <s v="Hauz Khas PS"/>
    <x v="1"/>
    <x v="0"/>
    <x v="1"/>
    <s v="None"/>
    <n v="29"/>
    <s v="Other"/>
    <x v="16"/>
    <n v="6"/>
    <s v="Wednesday"/>
    <x v="3"/>
  </r>
  <r>
    <d v="2026-10-14T06:07:02"/>
    <x v="7"/>
    <n v="28.656199999999998"/>
    <n v="77.231499999999997"/>
    <s v="Kotwali PS"/>
    <x v="0"/>
    <x v="3"/>
    <x v="1"/>
    <s v="None"/>
    <n v="47"/>
    <s v="Male"/>
    <x v="16"/>
    <n v="6"/>
    <s v="Wednesday"/>
    <x v="3"/>
  </r>
  <r>
    <d v="2026-10-14T05:15:02"/>
    <x v="1"/>
    <n v="28.567599999999999"/>
    <n v="77.209599999999995"/>
    <s v="Hauz Khas PS"/>
    <x v="0"/>
    <x v="3"/>
    <x v="2"/>
    <s v="None"/>
    <n v="46"/>
    <s v="Other"/>
    <x v="16"/>
    <n v="5"/>
    <s v="Wednesday"/>
    <x v="0"/>
  </r>
  <r>
    <d v="2026-10-14T02:48:42"/>
    <x v="7"/>
    <n v="28.656199999999998"/>
    <n v="77.231499999999997"/>
    <s v="Kotwali PS"/>
    <x v="3"/>
    <x v="3"/>
    <x v="1"/>
    <s v="Firearm"/>
    <n v="23"/>
    <s v="Female"/>
    <x v="16"/>
    <n v="2"/>
    <s v="Wednesday"/>
    <x v="0"/>
  </r>
  <r>
    <d v="2026-10-14T02:20:07"/>
    <x v="6"/>
    <n v="28.571400000000001"/>
    <n v="77.281300000000002"/>
    <s v="Sunlight Colony PS"/>
    <x v="4"/>
    <x v="3"/>
    <x v="1"/>
    <s v="Firearm"/>
    <n v="70"/>
    <s v="Female"/>
    <x v="16"/>
    <n v="2"/>
    <s v="Wednesday"/>
    <x v="0"/>
  </r>
  <r>
    <d v="2026-10-14T02:10:38"/>
    <x v="0"/>
    <n v="28.632999999999999"/>
    <n v="77.2196"/>
    <s v="Connaught Place PS"/>
    <x v="0"/>
    <x v="2"/>
    <x v="2"/>
    <s v="None"/>
    <n v="27"/>
    <s v="Other"/>
    <x v="16"/>
    <n v="2"/>
    <s v="Wednesday"/>
    <x v="0"/>
  </r>
  <r>
    <d v="2026-10-14T01:44:20"/>
    <x v="2"/>
    <n v="28.6328"/>
    <n v="77.219499999999996"/>
    <s v="Connaught Place PS"/>
    <x v="0"/>
    <x v="2"/>
    <x v="1"/>
    <s v="None"/>
    <n v="59"/>
    <s v="Other"/>
    <x v="16"/>
    <n v="1"/>
    <s v="Wednesday"/>
    <x v="0"/>
  </r>
  <r>
    <d v="2026-10-14T00:36:49"/>
    <x v="7"/>
    <n v="28.656199999999998"/>
    <n v="77.231499999999997"/>
    <s v="Kotwali PS"/>
    <x v="6"/>
    <x v="0"/>
    <x v="2"/>
    <s v="Knife"/>
    <n v="57"/>
    <s v="Female"/>
    <x v="16"/>
    <n v="0"/>
    <s v="Wednesday"/>
    <x v="0"/>
  </r>
  <r>
    <d v="2026-10-14T00:29:55"/>
    <x v="5"/>
    <n v="28.6129"/>
    <n v="77.229500000000002"/>
    <s v="Tilak Marg PS"/>
    <x v="7"/>
    <x v="0"/>
    <x v="2"/>
    <s v="Firearm"/>
    <n v="59"/>
    <s v="Female"/>
    <x v="16"/>
    <n v="0"/>
    <s v="Wednesday"/>
    <x v="0"/>
  </r>
  <r>
    <d v="2026-10-14T00:06:34"/>
    <x v="7"/>
    <n v="28.656199999999998"/>
    <n v="77.231499999999997"/>
    <s v="Kotwali PS"/>
    <x v="1"/>
    <x v="2"/>
    <x v="0"/>
    <s v="None"/>
    <n v="34"/>
    <s v="Other"/>
    <x v="16"/>
    <n v="0"/>
    <s v="Wednesday"/>
    <x v="0"/>
  </r>
  <r>
    <d v="2026-10-13T23:22:01"/>
    <x v="5"/>
    <n v="28.6129"/>
    <n v="77.229500000000002"/>
    <s v="Tilak Marg PS"/>
    <x v="2"/>
    <x v="0"/>
    <x v="1"/>
    <s v="Knife"/>
    <n v="72"/>
    <s v="Male"/>
    <x v="17"/>
    <n v="23"/>
    <s v="Tuesday"/>
    <x v="0"/>
  </r>
  <r>
    <d v="2026-10-13T21:22:43"/>
    <x v="5"/>
    <n v="28.6129"/>
    <n v="77.229500000000002"/>
    <s v="Tilak Marg PS"/>
    <x v="5"/>
    <x v="0"/>
    <x v="1"/>
    <s v="None"/>
    <n v="20"/>
    <s v="Male"/>
    <x v="17"/>
    <n v="21"/>
    <s v="Tuesday"/>
    <x v="0"/>
  </r>
  <r>
    <d v="2026-10-13T20:47:07"/>
    <x v="5"/>
    <n v="28.6129"/>
    <n v="77.229500000000002"/>
    <s v="Tilak Marg PS"/>
    <x v="5"/>
    <x v="0"/>
    <x v="1"/>
    <s v="None"/>
    <n v="67"/>
    <s v="Female"/>
    <x v="17"/>
    <n v="20"/>
    <s v="Tuesday"/>
    <x v="1"/>
  </r>
  <r>
    <d v="2026-10-13T19:29:19"/>
    <x v="6"/>
    <n v="28.571400000000001"/>
    <n v="77.281300000000002"/>
    <s v="Sunlight Colony PS"/>
    <x v="0"/>
    <x v="2"/>
    <x v="1"/>
    <s v="None"/>
    <n v="71"/>
    <s v="Female"/>
    <x v="17"/>
    <n v="19"/>
    <s v="Tuesday"/>
    <x v="1"/>
  </r>
  <r>
    <d v="2026-10-13T15:04:05"/>
    <x v="1"/>
    <n v="28.567599999999999"/>
    <n v="77.209599999999995"/>
    <s v="Hauz Khas PS"/>
    <x v="0"/>
    <x v="0"/>
    <x v="2"/>
    <s v="None"/>
    <n v="69"/>
    <s v="Male"/>
    <x v="17"/>
    <n v="15"/>
    <s v="Tuesday"/>
    <x v="2"/>
  </r>
  <r>
    <d v="2026-10-13T14:54:55"/>
    <x v="0"/>
    <n v="28.632999999999999"/>
    <n v="77.2196"/>
    <s v="Connaught Place PS"/>
    <x v="5"/>
    <x v="0"/>
    <x v="0"/>
    <s v="None"/>
    <n v="27"/>
    <s v="Other"/>
    <x v="17"/>
    <n v="14"/>
    <s v="Tuesday"/>
    <x v="2"/>
  </r>
  <r>
    <d v="2026-10-13T13:44:49"/>
    <x v="5"/>
    <n v="28.6129"/>
    <n v="77.229500000000002"/>
    <s v="Tilak Marg PS"/>
    <x v="6"/>
    <x v="0"/>
    <x v="3"/>
    <s v="Unknown"/>
    <n v="35"/>
    <s v="Male"/>
    <x v="17"/>
    <n v="13"/>
    <s v="Tuesday"/>
    <x v="2"/>
  </r>
  <r>
    <d v="2026-10-13T13:25:26"/>
    <x v="3"/>
    <n v="28.5562"/>
    <n v="77.099999999999994"/>
    <s v="IGI Airport PS"/>
    <x v="0"/>
    <x v="3"/>
    <x v="2"/>
    <s v="None"/>
    <n v="33"/>
    <s v="Other"/>
    <x v="17"/>
    <n v="13"/>
    <s v="Tuesday"/>
    <x v="2"/>
  </r>
  <r>
    <d v="2026-10-13T11:48:00"/>
    <x v="3"/>
    <n v="28.5562"/>
    <n v="77.099999999999994"/>
    <s v="IGI Airport PS"/>
    <x v="4"/>
    <x v="3"/>
    <x v="1"/>
    <s v="None"/>
    <n v="56"/>
    <s v="Other"/>
    <x v="17"/>
    <n v="11"/>
    <s v="Tuesday"/>
    <x v="3"/>
  </r>
  <r>
    <d v="2026-10-13T11:37:02"/>
    <x v="1"/>
    <n v="28.567599999999999"/>
    <n v="77.209599999999995"/>
    <s v="Hauz Khas PS"/>
    <x v="3"/>
    <x v="0"/>
    <x v="1"/>
    <s v="Knife"/>
    <n v="58"/>
    <s v="Female"/>
    <x v="17"/>
    <n v="11"/>
    <s v="Tuesday"/>
    <x v="3"/>
  </r>
  <r>
    <d v="2026-10-13T10:25:07"/>
    <x v="4"/>
    <n v="28.545300000000001"/>
    <n v="77.192499999999995"/>
    <s v="Vasant Kunj North PS"/>
    <x v="6"/>
    <x v="0"/>
    <x v="2"/>
    <s v="Firearm"/>
    <n v="75"/>
    <s v="Female"/>
    <x v="17"/>
    <n v="10"/>
    <s v="Tuesday"/>
    <x v="3"/>
  </r>
  <r>
    <d v="2026-10-13T08:06:02"/>
    <x v="7"/>
    <n v="28.656199999999998"/>
    <n v="77.231499999999997"/>
    <s v="Kotwali PS"/>
    <x v="8"/>
    <x v="3"/>
    <x v="2"/>
    <s v="None"/>
    <n v="52"/>
    <s v="Other"/>
    <x v="17"/>
    <n v="8"/>
    <s v="Tuesday"/>
    <x v="3"/>
  </r>
  <r>
    <d v="2026-10-13T05:33:46"/>
    <x v="1"/>
    <n v="28.567599999999999"/>
    <n v="77.209599999999995"/>
    <s v="Hauz Khas PS"/>
    <x v="8"/>
    <x v="3"/>
    <x v="0"/>
    <s v="None"/>
    <n v="69"/>
    <s v="Female"/>
    <x v="17"/>
    <n v="5"/>
    <s v="Tuesday"/>
    <x v="0"/>
  </r>
  <r>
    <d v="2026-10-13T01:40:59"/>
    <x v="3"/>
    <n v="28.5562"/>
    <n v="77.099999999999994"/>
    <s v="IGI Airport PS"/>
    <x v="5"/>
    <x v="0"/>
    <x v="2"/>
    <s v="None"/>
    <n v="64"/>
    <s v="Other"/>
    <x v="17"/>
    <n v="1"/>
    <s v="Tuesday"/>
    <x v="0"/>
  </r>
  <r>
    <d v="2026-10-13T00:57:50"/>
    <x v="2"/>
    <n v="28.6328"/>
    <n v="77.219499999999996"/>
    <s v="Connaught Place PS"/>
    <x v="6"/>
    <x v="0"/>
    <x v="1"/>
    <s v="Knife"/>
    <n v="45"/>
    <s v="Male"/>
    <x v="17"/>
    <n v="0"/>
    <s v="Tuesday"/>
    <x v="0"/>
  </r>
  <r>
    <d v="2026-10-12T23:42:14"/>
    <x v="7"/>
    <n v="28.656199999999998"/>
    <n v="77.231499999999997"/>
    <s v="Kotwali PS"/>
    <x v="6"/>
    <x v="0"/>
    <x v="0"/>
    <s v="None"/>
    <n v="23"/>
    <s v="Other"/>
    <x v="18"/>
    <n v="23"/>
    <s v="Monday"/>
    <x v="0"/>
  </r>
  <r>
    <d v="2026-10-12T22:21:37"/>
    <x v="4"/>
    <n v="28.545300000000001"/>
    <n v="77.192499999999995"/>
    <s v="Vasant Kunj North PS"/>
    <x v="2"/>
    <x v="3"/>
    <x v="2"/>
    <s v="Knife"/>
    <n v="48"/>
    <s v="Male"/>
    <x v="18"/>
    <n v="22"/>
    <s v="Monday"/>
    <x v="0"/>
  </r>
  <r>
    <d v="2026-10-12T21:14:41"/>
    <x v="6"/>
    <n v="28.571400000000001"/>
    <n v="77.281300000000002"/>
    <s v="Sunlight Colony PS"/>
    <x v="5"/>
    <x v="3"/>
    <x v="2"/>
    <s v="None"/>
    <n v="27"/>
    <s v="Other"/>
    <x v="18"/>
    <n v="21"/>
    <s v="Monday"/>
    <x v="0"/>
  </r>
  <r>
    <d v="2026-10-12T20:49:13"/>
    <x v="4"/>
    <n v="28.545300000000001"/>
    <n v="77.192499999999995"/>
    <s v="Vasant Kunj North PS"/>
    <x v="5"/>
    <x v="2"/>
    <x v="2"/>
    <s v="None"/>
    <n v="26"/>
    <s v="Other"/>
    <x v="18"/>
    <n v="20"/>
    <s v="Monday"/>
    <x v="1"/>
  </r>
  <r>
    <d v="2026-10-12T20:36:37"/>
    <x v="4"/>
    <n v="28.545300000000001"/>
    <n v="77.192499999999995"/>
    <s v="Vasant Kunj North PS"/>
    <x v="0"/>
    <x v="3"/>
    <x v="2"/>
    <s v="None"/>
    <n v="73"/>
    <s v="Other"/>
    <x v="18"/>
    <n v="20"/>
    <s v="Monday"/>
    <x v="1"/>
  </r>
  <r>
    <d v="2026-10-12T15:35:12"/>
    <x v="1"/>
    <n v="28.567599999999999"/>
    <n v="77.209599999999995"/>
    <s v="Hauz Khas PS"/>
    <x v="1"/>
    <x v="2"/>
    <x v="1"/>
    <s v="None"/>
    <n v="22"/>
    <s v="Male"/>
    <x v="18"/>
    <n v="15"/>
    <s v="Monday"/>
    <x v="2"/>
  </r>
  <r>
    <d v="2026-10-12T13:56:52"/>
    <x v="3"/>
    <n v="28.5562"/>
    <n v="77.099999999999994"/>
    <s v="IGI Airport PS"/>
    <x v="1"/>
    <x v="2"/>
    <x v="0"/>
    <s v="None"/>
    <n v="45"/>
    <s v="Female"/>
    <x v="18"/>
    <n v="13"/>
    <s v="Monday"/>
    <x v="2"/>
  </r>
  <r>
    <d v="2026-10-12T09:43:12"/>
    <x v="5"/>
    <n v="28.6129"/>
    <n v="77.229500000000002"/>
    <s v="Tilak Marg PS"/>
    <x v="4"/>
    <x v="3"/>
    <x v="0"/>
    <s v="Blunt Object"/>
    <n v="57"/>
    <s v="Other"/>
    <x v="18"/>
    <n v="9"/>
    <s v="Monday"/>
    <x v="3"/>
  </r>
  <r>
    <d v="2026-10-12T08:30:02"/>
    <x v="0"/>
    <n v="28.632999999999999"/>
    <n v="77.2196"/>
    <s v="Connaught Place PS"/>
    <x v="2"/>
    <x v="1"/>
    <x v="1"/>
    <s v="Blunt Object"/>
    <n v="41"/>
    <s v="Female"/>
    <x v="18"/>
    <n v="8"/>
    <s v="Monday"/>
    <x v="3"/>
  </r>
  <r>
    <d v="2026-10-12T07:10:55"/>
    <x v="3"/>
    <n v="28.5562"/>
    <n v="77.099999999999994"/>
    <s v="IGI Airport PS"/>
    <x v="8"/>
    <x v="3"/>
    <x v="3"/>
    <s v="None"/>
    <n v="64"/>
    <s v="Female"/>
    <x v="18"/>
    <n v="7"/>
    <s v="Monday"/>
    <x v="3"/>
  </r>
  <r>
    <d v="2026-10-12T06:23:48"/>
    <x v="4"/>
    <n v="28.545300000000001"/>
    <n v="77.192499999999995"/>
    <s v="Vasant Kunj North PS"/>
    <x v="6"/>
    <x v="0"/>
    <x v="0"/>
    <s v="Blunt Object"/>
    <n v="58"/>
    <s v="Female"/>
    <x v="18"/>
    <n v="6"/>
    <s v="Monday"/>
    <x v="3"/>
  </r>
  <r>
    <d v="2026-10-12T02:13:29"/>
    <x v="7"/>
    <n v="28.656199999999998"/>
    <n v="77.231499999999997"/>
    <s v="Kotwali PS"/>
    <x v="7"/>
    <x v="0"/>
    <x v="3"/>
    <s v="Unknown"/>
    <n v="65"/>
    <s v="Male"/>
    <x v="18"/>
    <n v="2"/>
    <s v="Monday"/>
    <x v="0"/>
  </r>
  <r>
    <d v="2026-10-12T01:45:19"/>
    <x v="3"/>
    <n v="28.5562"/>
    <n v="77.099999999999994"/>
    <s v="IGI Airport PS"/>
    <x v="5"/>
    <x v="0"/>
    <x v="1"/>
    <s v="None"/>
    <n v="40"/>
    <s v="Female"/>
    <x v="18"/>
    <n v="1"/>
    <s v="Monday"/>
    <x v="0"/>
  </r>
  <r>
    <d v="2026-10-12T00:58:44"/>
    <x v="7"/>
    <n v="28.656199999999998"/>
    <n v="77.231499999999997"/>
    <s v="Kotwali PS"/>
    <x v="4"/>
    <x v="0"/>
    <x v="3"/>
    <s v="Unknown"/>
    <n v="38"/>
    <s v="Female"/>
    <x v="18"/>
    <n v="0"/>
    <s v="Monday"/>
    <x v="0"/>
  </r>
  <r>
    <d v="2026-10-12T00:32:02"/>
    <x v="1"/>
    <n v="28.567599999999999"/>
    <n v="77.209599999999995"/>
    <s v="Hauz Khas PS"/>
    <x v="4"/>
    <x v="3"/>
    <x v="2"/>
    <s v="Firearm"/>
    <n v="38"/>
    <s v="Female"/>
    <x v="18"/>
    <n v="0"/>
    <s v="Monday"/>
    <x v="0"/>
  </r>
  <r>
    <d v="2026-10-11T23:19:31"/>
    <x v="5"/>
    <n v="28.6129"/>
    <n v="77.229500000000002"/>
    <s v="Tilak Marg PS"/>
    <x v="4"/>
    <x v="0"/>
    <x v="1"/>
    <s v="None"/>
    <n v="41"/>
    <s v="Female"/>
    <x v="19"/>
    <n v="23"/>
    <s v="Sunday"/>
    <x v="0"/>
  </r>
  <r>
    <d v="2026-10-11T20:39:03"/>
    <x v="3"/>
    <n v="28.5562"/>
    <n v="77.099999999999994"/>
    <s v="IGI Airport PS"/>
    <x v="0"/>
    <x v="3"/>
    <x v="0"/>
    <s v="None"/>
    <n v="57"/>
    <s v="Other"/>
    <x v="19"/>
    <n v="20"/>
    <s v="Sunday"/>
    <x v="1"/>
  </r>
  <r>
    <d v="2026-10-11T19:05:24"/>
    <x v="5"/>
    <n v="28.6129"/>
    <n v="77.229500000000002"/>
    <s v="Tilak Marg PS"/>
    <x v="4"/>
    <x v="3"/>
    <x v="3"/>
    <s v="Blunt Object"/>
    <n v="19"/>
    <s v="Other"/>
    <x v="19"/>
    <n v="19"/>
    <s v="Sunday"/>
    <x v="1"/>
  </r>
  <r>
    <d v="2026-10-11T18:34:55"/>
    <x v="1"/>
    <n v="28.567599999999999"/>
    <n v="77.209599999999995"/>
    <s v="Hauz Khas PS"/>
    <x v="1"/>
    <x v="0"/>
    <x v="0"/>
    <s v="None"/>
    <n v="44"/>
    <s v="Male"/>
    <x v="19"/>
    <n v="18"/>
    <s v="Sunday"/>
    <x v="1"/>
  </r>
  <r>
    <d v="2026-10-11T16:08:00"/>
    <x v="4"/>
    <n v="28.545300000000001"/>
    <n v="77.192499999999995"/>
    <s v="Vasant Kunj North PS"/>
    <x v="1"/>
    <x v="2"/>
    <x v="0"/>
    <s v="None"/>
    <n v="54"/>
    <s v="Other"/>
    <x v="19"/>
    <n v="16"/>
    <s v="Sunday"/>
    <x v="2"/>
  </r>
  <r>
    <d v="2026-10-11T15:57:34"/>
    <x v="7"/>
    <n v="28.656199999999998"/>
    <n v="77.231499999999997"/>
    <s v="Kotwali PS"/>
    <x v="0"/>
    <x v="3"/>
    <x v="0"/>
    <s v="None"/>
    <n v="50"/>
    <s v="Female"/>
    <x v="19"/>
    <n v="15"/>
    <s v="Sunday"/>
    <x v="2"/>
  </r>
  <r>
    <d v="2026-10-11T15:35:34"/>
    <x v="7"/>
    <n v="28.656199999999998"/>
    <n v="77.231499999999997"/>
    <s v="Kotwali PS"/>
    <x v="0"/>
    <x v="1"/>
    <x v="1"/>
    <s v="None"/>
    <n v="75"/>
    <s v="Male"/>
    <x v="19"/>
    <n v="15"/>
    <s v="Sunday"/>
    <x v="2"/>
  </r>
  <r>
    <d v="2026-10-11T11:14:24"/>
    <x v="4"/>
    <n v="28.545300000000001"/>
    <n v="77.192499999999995"/>
    <s v="Vasant Kunj North PS"/>
    <x v="4"/>
    <x v="0"/>
    <x v="1"/>
    <s v="Blunt Object"/>
    <n v="34"/>
    <s v="Female"/>
    <x v="19"/>
    <n v="11"/>
    <s v="Sunday"/>
    <x v="3"/>
  </r>
  <r>
    <d v="2026-10-11T10:51:15"/>
    <x v="3"/>
    <n v="28.5562"/>
    <n v="77.099999999999994"/>
    <s v="IGI Airport PS"/>
    <x v="7"/>
    <x v="2"/>
    <x v="2"/>
    <s v="None"/>
    <n v="20"/>
    <s v="Other"/>
    <x v="19"/>
    <n v="10"/>
    <s v="Sunday"/>
    <x v="3"/>
  </r>
  <r>
    <d v="2026-10-11T10:03:04"/>
    <x v="0"/>
    <n v="28.632999999999999"/>
    <n v="77.2196"/>
    <s v="Connaught Place PS"/>
    <x v="8"/>
    <x v="3"/>
    <x v="0"/>
    <s v="None"/>
    <n v="33"/>
    <s v="Female"/>
    <x v="19"/>
    <n v="10"/>
    <s v="Sunday"/>
    <x v="3"/>
  </r>
  <r>
    <d v="2026-10-11T10:02:43"/>
    <x v="5"/>
    <n v="28.6129"/>
    <n v="77.229500000000002"/>
    <s v="Tilak Marg PS"/>
    <x v="6"/>
    <x v="0"/>
    <x v="3"/>
    <s v="Blunt Object"/>
    <n v="54"/>
    <s v="Male"/>
    <x v="19"/>
    <n v="10"/>
    <s v="Sunday"/>
    <x v="3"/>
  </r>
  <r>
    <d v="2026-10-11T09:28:47"/>
    <x v="5"/>
    <n v="28.6129"/>
    <n v="77.229500000000002"/>
    <s v="Tilak Marg PS"/>
    <x v="7"/>
    <x v="2"/>
    <x v="1"/>
    <s v="Knife"/>
    <n v="20"/>
    <s v="Female"/>
    <x v="19"/>
    <n v="9"/>
    <s v="Sunday"/>
    <x v="3"/>
  </r>
  <r>
    <d v="2026-10-11T08:59:08"/>
    <x v="5"/>
    <n v="28.6129"/>
    <n v="77.229500000000002"/>
    <s v="Tilak Marg PS"/>
    <x v="0"/>
    <x v="3"/>
    <x v="1"/>
    <s v="None"/>
    <n v="38"/>
    <s v="Female"/>
    <x v="19"/>
    <n v="8"/>
    <s v="Sunday"/>
    <x v="3"/>
  </r>
  <r>
    <d v="2026-10-11T07:26:08"/>
    <x v="2"/>
    <n v="28.6328"/>
    <n v="77.219499999999996"/>
    <s v="Connaught Place PS"/>
    <x v="1"/>
    <x v="2"/>
    <x v="1"/>
    <s v="None"/>
    <n v="50"/>
    <s v="Other"/>
    <x v="19"/>
    <n v="7"/>
    <s v="Sunday"/>
    <x v="3"/>
  </r>
  <r>
    <d v="2026-10-11T05:25:04"/>
    <x v="2"/>
    <n v="28.6328"/>
    <n v="77.219499999999996"/>
    <s v="Connaught Place PS"/>
    <x v="2"/>
    <x v="3"/>
    <x v="2"/>
    <s v="Knife"/>
    <n v="18"/>
    <s v="Male"/>
    <x v="19"/>
    <n v="5"/>
    <s v="Sunday"/>
    <x v="0"/>
  </r>
  <r>
    <d v="2026-10-11T05:13:20"/>
    <x v="3"/>
    <n v="28.5562"/>
    <n v="77.099999999999994"/>
    <s v="IGI Airport PS"/>
    <x v="0"/>
    <x v="3"/>
    <x v="2"/>
    <s v="None"/>
    <n v="70"/>
    <s v="Male"/>
    <x v="19"/>
    <n v="5"/>
    <s v="Sunday"/>
    <x v="0"/>
  </r>
  <r>
    <d v="2026-10-11T04:56:54"/>
    <x v="7"/>
    <n v="28.656199999999998"/>
    <n v="77.231499999999997"/>
    <s v="Kotwali PS"/>
    <x v="1"/>
    <x v="0"/>
    <x v="2"/>
    <s v="None"/>
    <n v="66"/>
    <s v="Female"/>
    <x v="19"/>
    <n v="4"/>
    <s v="Sunday"/>
    <x v="0"/>
  </r>
  <r>
    <d v="2026-10-11T00:52:18"/>
    <x v="0"/>
    <n v="28.632999999999999"/>
    <n v="77.2196"/>
    <s v="Connaught Place PS"/>
    <x v="1"/>
    <x v="2"/>
    <x v="2"/>
    <s v="None"/>
    <n v="67"/>
    <s v="Female"/>
    <x v="19"/>
    <n v="0"/>
    <s v="Sunday"/>
    <x v="0"/>
  </r>
  <r>
    <d v="2026-10-10T23:39:36"/>
    <x v="0"/>
    <n v="28.632999999999999"/>
    <n v="77.2196"/>
    <s v="Connaught Place PS"/>
    <x v="6"/>
    <x v="0"/>
    <x v="2"/>
    <s v="Knife"/>
    <n v="29"/>
    <s v="Male"/>
    <x v="20"/>
    <n v="23"/>
    <s v="Saturday"/>
    <x v="0"/>
  </r>
  <r>
    <d v="2026-10-10T21:18:28"/>
    <x v="4"/>
    <n v="28.545300000000001"/>
    <n v="77.192499999999995"/>
    <s v="Vasant Kunj North PS"/>
    <x v="2"/>
    <x v="0"/>
    <x v="2"/>
    <s v="Blunt Object"/>
    <n v="52"/>
    <s v="Other"/>
    <x v="20"/>
    <n v="21"/>
    <s v="Saturday"/>
    <x v="0"/>
  </r>
  <r>
    <d v="2026-10-10T18:51:53"/>
    <x v="0"/>
    <n v="28.632999999999999"/>
    <n v="77.2196"/>
    <s v="Connaught Place PS"/>
    <x v="6"/>
    <x v="2"/>
    <x v="1"/>
    <s v="Blunt Object"/>
    <n v="43"/>
    <s v="Other"/>
    <x v="20"/>
    <n v="18"/>
    <s v="Saturday"/>
    <x v="1"/>
  </r>
  <r>
    <d v="2026-10-10T18:00:34"/>
    <x v="7"/>
    <n v="28.656199999999998"/>
    <n v="77.231499999999997"/>
    <s v="Kotwali PS"/>
    <x v="1"/>
    <x v="3"/>
    <x v="1"/>
    <s v="None"/>
    <n v="48"/>
    <s v="Male"/>
    <x v="20"/>
    <n v="18"/>
    <s v="Saturday"/>
    <x v="1"/>
  </r>
  <r>
    <d v="2026-10-10T15:40:41"/>
    <x v="5"/>
    <n v="28.6129"/>
    <n v="77.229500000000002"/>
    <s v="Tilak Marg PS"/>
    <x v="4"/>
    <x v="1"/>
    <x v="0"/>
    <s v="Blunt Object"/>
    <n v="33"/>
    <s v="Male"/>
    <x v="20"/>
    <n v="15"/>
    <s v="Saturday"/>
    <x v="2"/>
  </r>
  <r>
    <d v="2026-10-10T15:23:31"/>
    <x v="3"/>
    <n v="28.5562"/>
    <n v="77.099999999999994"/>
    <s v="IGI Airport PS"/>
    <x v="0"/>
    <x v="3"/>
    <x v="2"/>
    <s v="None"/>
    <n v="54"/>
    <s v="Male"/>
    <x v="20"/>
    <n v="15"/>
    <s v="Saturday"/>
    <x v="2"/>
  </r>
  <r>
    <d v="2026-10-10T14:40:46"/>
    <x v="1"/>
    <n v="28.567599999999999"/>
    <n v="77.209599999999995"/>
    <s v="Hauz Khas PS"/>
    <x v="1"/>
    <x v="0"/>
    <x v="0"/>
    <s v="None"/>
    <n v="63"/>
    <s v="Other"/>
    <x v="20"/>
    <n v="14"/>
    <s v="Saturday"/>
    <x v="2"/>
  </r>
  <r>
    <d v="2026-10-10T13:27:43"/>
    <x v="4"/>
    <n v="28.545300000000001"/>
    <n v="77.192499999999995"/>
    <s v="Vasant Kunj North PS"/>
    <x v="0"/>
    <x v="2"/>
    <x v="1"/>
    <s v="None"/>
    <n v="74"/>
    <s v="Female"/>
    <x v="20"/>
    <n v="13"/>
    <s v="Saturday"/>
    <x v="2"/>
  </r>
  <r>
    <d v="2026-10-10T13:14:51"/>
    <x v="2"/>
    <n v="28.6328"/>
    <n v="77.219499999999996"/>
    <s v="Connaught Place PS"/>
    <x v="5"/>
    <x v="0"/>
    <x v="1"/>
    <s v="None"/>
    <n v="57"/>
    <s v="Other"/>
    <x v="20"/>
    <n v="13"/>
    <s v="Saturday"/>
    <x v="2"/>
  </r>
  <r>
    <d v="2026-10-10T12:59:28"/>
    <x v="7"/>
    <n v="28.656199999999998"/>
    <n v="77.231499999999997"/>
    <s v="Kotwali PS"/>
    <x v="6"/>
    <x v="0"/>
    <x v="0"/>
    <s v="Firearm"/>
    <n v="61"/>
    <s v="Female"/>
    <x v="20"/>
    <n v="12"/>
    <s v="Saturday"/>
    <x v="2"/>
  </r>
  <r>
    <d v="2026-10-10T10:24:44"/>
    <x v="6"/>
    <n v="28.571400000000001"/>
    <n v="77.281300000000002"/>
    <s v="Sunlight Colony PS"/>
    <x v="5"/>
    <x v="2"/>
    <x v="2"/>
    <s v="None"/>
    <n v="68"/>
    <s v="Other"/>
    <x v="20"/>
    <n v="10"/>
    <s v="Saturday"/>
    <x v="3"/>
  </r>
  <r>
    <d v="2026-10-10T09:48:17"/>
    <x v="2"/>
    <n v="28.6328"/>
    <n v="77.219499999999996"/>
    <s v="Connaught Place PS"/>
    <x v="5"/>
    <x v="0"/>
    <x v="1"/>
    <s v="None"/>
    <n v="67"/>
    <s v="Other"/>
    <x v="20"/>
    <n v="9"/>
    <s v="Saturday"/>
    <x v="3"/>
  </r>
  <r>
    <d v="2026-10-10T06:20:17"/>
    <x v="0"/>
    <n v="28.632999999999999"/>
    <n v="77.2196"/>
    <s v="Connaught Place PS"/>
    <x v="7"/>
    <x v="3"/>
    <x v="2"/>
    <s v="Firearm"/>
    <n v="25"/>
    <s v="Male"/>
    <x v="20"/>
    <n v="6"/>
    <s v="Saturday"/>
    <x v="3"/>
  </r>
  <r>
    <d v="2026-10-10T02:05:06"/>
    <x v="7"/>
    <n v="28.656199999999998"/>
    <n v="77.231499999999997"/>
    <s v="Kotwali PS"/>
    <x v="1"/>
    <x v="2"/>
    <x v="2"/>
    <s v="None"/>
    <n v="23"/>
    <s v="Female"/>
    <x v="20"/>
    <n v="2"/>
    <s v="Saturday"/>
    <x v="0"/>
  </r>
  <r>
    <d v="2026-10-10T01:30:09"/>
    <x v="2"/>
    <n v="28.6328"/>
    <n v="77.219499999999996"/>
    <s v="Connaught Place PS"/>
    <x v="1"/>
    <x v="2"/>
    <x v="2"/>
    <s v="None"/>
    <n v="72"/>
    <s v="Male"/>
    <x v="20"/>
    <n v="1"/>
    <s v="Saturday"/>
    <x v="0"/>
  </r>
  <r>
    <d v="2026-10-10T00:37:04"/>
    <x v="3"/>
    <n v="28.5562"/>
    <n v="77.099999999999994"/>
    <s v="IGI Airport PS"/>
    <x v="4"/>
    <x v="1"/>
    <x v="2"/>
    <s v="Blunt Object"/>
    <n v="72"/>
    <s v="Other"/>
    <x v="20"/>
    <n v="0"/>
    <s v="Saturday"/>
    <x v="0"/>
  </r>
  <r>
    <d v="2026-10-10T00:24:52"/>
    <x v="1"/>
    <n v="28.567599999999999"/>
    <n v="77.209599999999995"/>
    <s v="Hauz Khas PS"/>
    <x v="2"/>
    <x v="3"/>
    <x v="3"/>
    <s v="None"/>
    <n v="55"/>
    <s v="Other"/>
    <x v="20"/>
    <n v="0"/>
    <s v="Saturday"/>
    <x v="0"/>
  </r>
  <r>
    <d v="2026-10-09T17:32:26"/>
    <x v="1"/>
    <n v="28.567599999999999"/>
    <n v="77.209599999999995"/>
    <s v="Hauz Khas PS"/>
    <x v="5"/>
    <x v="0"/>
    <x v="1"/>
    <s v="None"/>
    <n v="29"/>
    <s v="Other"/>
    <x v="21"/>
    <n v="17"/>
    <s v="Friday"/>
    <x v="1"/>
  </r>
  <r>
    <d v="2026-10-09T17:16:12"/>
    <x v="2"/>
    <n v="28.6328"/>
    <n v="77.219499999999996"/>
    <s v="Connaught Place PS"/>
    <x v="7"/>
    <x v="2"/>
    <x v="2"/>
    <s v="Firearm"/>
    <n v="33"/>
    <s v="Male"/>
    <x v="21"/>
    <n v="17"/>
    <s v="Friday"/>
    <x v="1"/>
  </r>
  <r>
    <d v="2026-10-09T17:12:13"/>
    <x v="1"/>
    <n v="28.567599999999999"/>
    <n v="77.209599999999995"/>
    <s v="Hauz Khas PS"/>
    <x v="5"/>
    <x v="2"/>
    <x v="1"/>
    <s v="None"/>
    <n v="66"/>
    <s v="Other"/>
    <x v="21"/>
    <n v="17"/>
    <s v="Friday"/>
    <x v="1"/>
  </r>
  <r>
    <d v="2026-10-09T13:48:10"/>
    <x v="4"/>
    <n v="28.545300000000001"/>
    <n v="77.192499999999995"/>
    <s v="Vasant Kunj North PS"/>
    <x v="3"/>
    <x v="3"/>
    <x v="2"/>
    <s v="Knife"/>
    <n v="32"/>
    <s v="Other"/>
    <x v="21"/>
    <n v="13"/>
    <s v="Friday"/>
    <x v="2"/>
  </r>
  <r>
    <d v="2026-10-09T12:03:31"/>
    <x v="4"/>
    <n v="28.545300000000001"/>
    <n v="77.192499999999995"/>
    <s v="Vasant Kunj North PS"/>
    <x v="5"/>
    <x v="0"/>
    <x v="1"/>
    <s v="None"/>
    <n v="35"/>
    <s v="Male"/>
    <x v="21"/>
    <n v="12"/>
    <s v="Friday"/>
    <x v="2"/>
  </r>
  <r>
    <d v="2026-10-09T10:58:04"/>
    <x v="5"/>
    <n v="28.6129"/>
    <n v="77.229500000000002"/>
    <s v="Tilak Marg PS"/>
    <x v="4"/>
    <x v="3"/>
    <x v="2"/>
    <s v="None"/>
    <n v="74"/>
    <s v="Other"/>
    <x v="21"/>
    <n v="10"/>
    <s v="Friday"/>
    <x v="3"/>
  </r>
  <r>
    <d v="2026-10-09T09:56:23"/>
    <x v="3"/>
    <n v="28.5562"/>
    <n v="77.099999999999994"/>
    <s v="IGI Airport PS"/>
    <x v="8"/>
    <x v="0"/>
    <x v="2"/>
    <s v="None"/>
    <n v="34"/>
    <s v="Female"/>
    <x v="21"/>
    <n v="9"/>
    <s v="Friday"/>
    <x v="3"/>
  </r>
  <r>
    <d v="2026-10-09T04:35:49"/>
    <x v="3"/>
    <n v="28.5562"/>
    <n v="77.099999999999994"/>
    <s v="IGI Airport PS"/>
    <x v="1"/>
    <x v="0"/>
    <x v="1"/>
    <s v="None"/>
    <n v="44"/>
    <s v="Female"/>
    <x v="21"/>
    <n v="4"/>
    <s v="Friday"/>
    <x v="0"/>
  </r>
  <r>
    <d v="2026-10-09T03:54:59"/>
    <x v="0"/>
    <n v="28.632999999999999"/>
    <n v="77.2196"/>
    <s v="Connaught Place PS"/>
    <x v="6"/>
    <x v="2"/>
    <x v="2"/>
    <s v="Knife"/>
    <n v="66"/>
    <s v="Other"/>
    <x v="21"/>
    <n v="3"/>
    <s v="Friday"/>
    <x v="0"/>
  </r>
  <r>
    <d v="2026-10-09T00:06:51"/>
    <x v="2"/>
    <n v="28.6328"/>
    <n v="77.219499999999996"/>
    <s v="Connaught Place PS"/>
    <x v="3"/>
    <x v="0"/>
    <x v="0"/>
    <s v="Knife"/>
    <n v="72"/>
    <s v="Male"/>
    <x v="21"/>
    <n v="0"/>
    <s v="Friday"/>
    <x v="0"/>
  </r>
  <r>
    <d v="2026-10-08T23:41:39"/>
    <x v="2"/>
    <n v="28.6328"/>
    <n v="77.219499999999996"/>
    <s v="Connaught Place PS"/>
    <x v="6"/>
    <x v="3"/>
    <x v="1"/>
    <s v="Unknown"/>
    <n v="38"/>
    <s v="Male"/>
    <x v="22"/>
    <n v="23"/>
    <s v="Thursday"/>
    <x v="0"/>
  </r>
  <r>
    <d v="2026-10-08T22:35:07"/>
    <x v="6"/>
    <n v="28.571400000000001"/>
    <n v="77.281300000000002"/>
    <s v="Sunlight Colony PS"/>
    <x v="5"/>
    <x v="2"/>
    <x v="0"/>
    <s v="None"/>
    <n v="68"/>
    <s v="Male"/>
    <x v="22"/>
    <n v="22"/>
    <s v="Thursday"/>
    <x v="0"/>
  </r>
  <r>
    <d v="2026-10-08T22:16:45"/>
    <x v="4"/>
    <n v="28.545300000000001"/>
    <n v="77.192499999999995"/>
    <s v="Vasant Kunj North PS"/>
    <x v="3"/>
    <x v="3"/>
    <x v="3"/>
    <s v="Blunt Object"/>
    <n v="32"/>
    <s v="Other"/>
    <x v="22"/>
    <n v="22"/>
    <s v="Thursday"/>
    <x v="0"/>
  </r>
  <r>
    <d v="2026-10-08T21:09:29"/>
    <x v="4"/>
    <n v="28.545300000000001"/>
    <n v="77.192499999999995"/>
    <s v="Vasant Kunj North PS"/>
    <x v="8"/>
    <x v="0"/>
    <x v="2"/>
    <s v="None"/>
    <n v="67"/>
    <s v="Other"/>
    <x v="22"/>
    <n v="21"/>
    <s v="Thursday"/>
    <x v="0"/>
  </r>
  <r>
    <d v="2026-10-08T20:35:57"/>
    <x v="7"/>
    <n v="28.656199999999998"/>
    <n v="77.231499999999997"/>
    <s v="Kotwali PS"/>
    <x v="5"/>
    <x v="1"/>
    <x v="1"/>
    <s v="None"/>
    <n v="72"/>
    <s v="Female"/>
    <x v="22"/>
    <n v="20"/>
    <s v="Thursday"/>
    <x v="1"/>
  </r>
  <r>
    <d v="2026-10-08T13:41:56"/>
    <x v="3"/>
    <n v="28.5562"/>
    <n v="77.099999999999994"/>
    <s v="IGI Airport PS"/>
    <x v="2"/>
    <x v="1"/>
    <x v="2"/>
    <s v="Firearm"/>
    <n v="24"/>
    <s v="Female"/>
    <x v="22"/>
    <n v="13"/>
    <s v="Thursday"/>
    <x v="2"/>
  </r>
  <r>
    <d v="2026-10-08T13:17:39"/>
    <x v="3"/>
    <n v="28.5562"/>
    <n v="77.099999999999994"/>
    <s v="IGI Airport PS"/>
    <x v="1"/>
    <x v="2"/>
    <x v="2"/>
    <s v="None"/>
    <n v="21"/>
    <s v="Other"/>
    <x v="22"/>
    <n v="13"/>
    <s v="Thursday"/>
    <x v="2"/>
  </r>
  <r>
    <d v="2026-10-08T12:16:53"/>
    <x v="3"/>
    <n v="28.5562"/>
    <n v="77.099999999999994"/>
    <s v="IGI Airport PS"/>
    <x v="7"/>
    <x v="2"/>
    <x v="1"/>
    <s v="None"/>
    <n v="43"/>
    <s v="Other"/>
    <x v="22"/>
    <n v="12"/>
    <s v="Thursday"/>
    <x v="2"/>
  </r>
  <r>
    <d v="2026-10-08T11:31:59"/>
    <x v="5"/>
    <n v="28.6129"/>
    <n v="77.229500000000002"/>
    <s v="Tilak Marg PS"/>
    <x v="3"/>
    <x v="0"/>
    <x v="0"/>
    <s v="Knife"/>
    <n v="39"/>
    <s v="Other"/>
    <x v="22"/>
    <n v="11"/>
    <s v="Thursday"/>
    <x v="3"/>
  </r>
  <r>
    <d v="2026-10-08T10:56:31"/>
    <x v="0"/>
    <n v="28.632999999999999"/>
    <n v="77.2196"/>
    <s v="Connaught Place PS"/>
    <x v="3"/>
    <x v="0"/>
    <x v="1"/>
    <s v="Blunt Object"/>
    <n v="28"/>
    <s v="Female"/>
    <x v="22"/>
    <n v="10"/>
    <s v="Thursday"/>
    <x v="3"/>
  </r>
  <r>
    <d v="2026-10-08T10:52:19"/>
    <x v="5"/>
    <n v="28.6129"/>
    <n v="77.229500000000002"/>
    <s v="Tilak Marg PS"/>
    <x v="1"/>
    <x v="2"/>
    <x v="2"/>
    <s v="None"/>
    <n v="61"/>
    <s v="Female"/>
    <x v="22"/>
    <n v="10"/>
    <s v="Thursday"/>
    <x v="3"/>
  </r>
  <r>
    <d v="2026-10-08T09:39:28"/>
    <x v="2"/>
    <n v="28.6328"/>
    <n v="77.219499999999996"/>
    <s v="Connaught Place PS"/>
    <x v="1"/>
    <x v="0"/>
    <x v="2"/>
    <s v="None"/>
    <n v="38"/>
    <s v="Female"/>
    <x v="22"/>
    <n v="9"/>
    <s v="Thursday"/>
    <x v="3"/>
  </r>
  <r>
    <d v="2026-10-08T08:54:20"/>
    <x v="1"/>
    <n v="28.567599999999999"/>
    <n v="77.209599999999995"/>
    <s v="Hauz Khas PS"/>
    <x v="8"/>
    <x v="0"/>
    <x v="3"/>
    <s v="None"/>
    <n v="51"/>
    <s v="Female"/>
    <x v="22"/>
    <n v="8"/>
    <s v="Thursday"/>
    <x v="3"/>
  </r>
  <r>
    <d v="2026-10-08T06:21:06"/>
    <x v="2"/>
    <n v="28.6328"/>
    <n v="77.219499999999996"/>
    <s v="Connaught Place PS"/>
    <x v="0"/>
    <x v="0"/>
    <x v="1"/>
    <s v="None"/>
    <n v="68"/>
    <s v="Other"/>
    <x v="22"/>
    <n v="6"/>
    <s v="Thursday"/>
    <x v="3"/>
  </r>
  <r>
    <d v="2026-10-08T06:02:31"/>
    <x v="2"/>
    <n v="28.6328"/>
    <n v="77.219499999999996"/>
    <s v="Connaught Place PS"/>
    <x v="3"/>
    <x v="0"/>
    <x v="1"/>
    <s v="Firearm"/>
    <n v="19"/>
    <s v="Male"/>
    <x v="22"/>
    <n v="6"/>
    <s v="Thursday"/>
    <x v="3"/>
  </r>
  <r>
    <d v="2026-10-08T05:53:50"/>
    <x v="6"/>
    <n v="28.571400000000001"/>
    <n v="77.281300000000002"/>
    <s v="Sunlight Colony PS"/>
    <x v="5"/>
    <x v="0"/>
    <x v="0"/>
    <s v="None"/>
    <n v="48"/>
    <s v="Male"/>
    <x v="22"/>
    <n v="5"/>
    <s v="Thursday"/>
    <x v="0"/>
  </r>
  <r>
    <d v="2026-10-08T04:59:19"/>
    <x v="2"/>
    <n v="28.6328"/>
    <n v="77.219499999999996"/>
    <s v="Connaught Place PS"/>
    <x v="7"/>
    <x v="0"/>
    <x v="0"/>
    <s v="None"/>
    <n v="47"/>
    <s v="Male"/>
    <x v="22"/>
    <n v="4"/>
    <s v="Thursday"/>
    <x v="0"/>
  </r>
  <r>
    <d v="2026-10-08T03:35:03"/>
    <x v="3"/>
    <n v="28.5562"/>
    <n v="77.099999999999994"/>
    <s v="IGI Airport PS"/>
    <x v="1"/>
    <x v="2"/>
    <x v="2"/>
    <s v="None"/>
    <n v="62"/>
    <s v="Other"/>
    <x v="22"/>
    <n v="3"/>
    <s v="Thursday"/>
    <x v="0"/>
  </r>
  <r>
    <d v="2026-10-08T03:32:15"/>
    <x v="5"/>
    <n v="28.6129"/>
    <n v="77.229500000000002"/>
    <s v="Tilak Marg PS"/>
    <x v="1"/>
    <x v="2"/>
    <x v="0"/>
    <s v="None"/>
    <n v="46"/>
    <s v="Other"/>
    <x v="22"/>
    <n v="3"/>
    <s v="Thursday"/>
    <x v="0"/>
  </r>
  <r>
    <d v="2026-10-08T01:44:06"/>
    <x v="5"/>
    <n v="28.6129"/>
    <n v="77.229500000000002"/>
    <s v="Tilak Marg PS"/>
    <x v="1"/>
    <x v="0"/>
    <x v="2"/>
    <s v="None"/>
    <n v="52"/>
    <s v="Female"/>
    <x v="22"/>
    <n v="1"/>
    <s v="Thursday"/>
    <x v="0"/>
  </r>
  <r>
    <d v="2026-10-08T01:04:12"/>
    <x v="7"/>
    <n v="28.656199999999998"/>
    <n v="77.231499999999997"/>
    <s v="Kotwali PS"/>
    <x v="0"/>
    <x v="1"/>
    <x v="1"/>
    <s v="None"/>
    <n v="52"/>
    <s v="Male"/>
    <x v="22"/>
    <n v="1"/>
    <s v="Thursday"/>
    <x v="0"/>
  </r>
  <r>
    <d v="2026-10-07T18:57:51"/>
    <x v="1"/>
    <n v="28.567599999999999"/>
    <n v="77.209599999999995"/>
    <s v="Hauz Khas PS"/>
    <x v="4"/>
    <x v="0"/>
    <x v="3"/>
    <s v="None"/>
    <n v="53"/>
    <s v="Female"/>
    <x v="23"/>
    <n v="18"/>
    <s v="Wednesday"/>
    <x v="1"/>
  </r>
  <r>
    <d v="2026-10-07T18:54:05"/>
    <x v="7"/>
    <n v="28.656199999999998"/>
    <n v="77.231499999999997"/>
    <s v="Kotwali PS"/>
    <x v="5"/>
    <x v="2"/>
    <x v="1"/>
    <s v="None"/>
    <n v="75"/>
    <s v="Female"/>
    <x v="23"/>
    <n v="18"/>
    <s v="Wednesday"/>
    <x v="1"/>
  </r>
  <r>
    <d v="2026-10-07T18:40:38"/>
    <x v="7"/>
    <n v="28.656199999999998"/>
    <n v="77.231499999999997"/>
    <s v="Kotwali PS"/>
    <x v="8"/>
    <x v="2"/>
    <x v="3"/>
    <s v="None"/>
    <n v="38"/>
    <s v="Male"/>
    <x v="23"/>
    <n v="18"/>
    <s v="Wednesday"/>
    <x v="1"/>
  </r>
  <r>
    <d v="2026-10-07T17:10:50"/>
    <x v="4"/>
    <n v="28.545300000000001"/>
    <n v="77.192499999999995"/>
    <s v="Vasant Kunj North PS"/>
    <x v="8"/>
    <x v="2"/>
    <x v="1"/>
    <s v="None"/>
    <n v="27"/>
    <s v="Male"/>
    <x v="23"/>
    <n v="17"/>
    <s v="Wednesday"/>
    <x v="1"/>
  </r>
  <r>
    <d v="2026-10-07T12:28:36"/>
    <x v="1"/>
    <n v="28.567599999999999"/>
    <n v="77.209599999999995"/>
    <s v="Hauz Khas PS"/>
    <x v="5"/>
    <x v="2"/>
    <x v="1"/>
    <s v="None"/>
    <n v="19"/>
    <s v="Male"/>
    <x v="23"/>
    <n v="12"/>
    <s v="Wednesday"/>
    <x v="2"/>
  </r>
  <r>
    <d v="2026-10-07T08:40:02"/>
    <x v="5"/>
    <n v="28.6129"/>
    <n v="77.229500000000002"/>
    <s v="Tilak Marg PS"/>
    <x v="3"/>
    <x v="0"/>
    <x v="2"/>
    <s v="None"/>
    <n v="33"/>
    <s v="Other"/>
    <x v="23"/>
    <n v="8"/>
    <s v="Wednesday"/>
    <x v="3"/>
  </r>
  <r>
    <d v="2026-10-07T07:09:42"/>
    <x v="0"/>
    <n v="28.632999999999999"/>
    <n v="77.2196"/>
    <s v="Connaught Place PS"/>
    <x v="4"/>
    <x v="0"/>
    <x v="1"/>
    <s v="Unknown"/>
    <n v="35"/>
    <s v="Other"/>
    <x v="23"/>
    <n v="7"/>
    <s v="Wednesday"/>
    <x v="3"/>
  </r>
  <r>
    <d v="2026-10-07T06:49:33"/>
    <x v="0"/>
    <n v="28.632999999999999"/>
    <n v="77.2196"/>
    <s v="Connaught Place PS"/>
    <x v="0"/>
    <x v="0"/>
    <x v="1"/>
    <s v="None"/>
    <n v="51"/>
    <s v="Female"/>
    <x v="23"/>
    <n v="6"/>
    <s v="Wednesday"/>
    <x v="3"/>
  </r>
  <r>
    <d v="2026-10-07T05:02:10"/>
    <x v="4"/>
    <n v="28.545300000000001"/>
    <n v="77.192499999999995"/>
    <s v="Vasant Kunj North PS"/>
    <x v="5"/>
    <x v="0"/>
    <x v="1"/>
    <s v="None"/>
    <n v="49"/>
    <s v="Other"/>
    <x v="23"/>
    <n v="5"/>
    <s v="Wednesday"/>
    <x v="0"/>
  </r>
  <r>
    <d v="2026-10-07T04:09:49"/>
    <x v="3"/>
    <n v="28.5562"/>
    <n v="77.099999999999994"/>
    <s v="IGI Airport PS"/>
    <x v="6"/>
    <x v="3"/>
    <x v="0"/>
    <s v="Knife"/>
    <n v="74"/>
    <s v="Male"/>
    <x v="23"/>
    <n v="4"/>
    <s v="Wednesday"/>
    <x v="0"/>
  </r>
  <r>
    <d v="2026-10-07T03:17:04"/>
    <x v="1"/>
    <n v="28.567599999999999"/>
    <n v="77.209599999999995"/>
    <s v="Hauz Khas PS"/>
    <x v="5"/>
    <x v="3"/>
    <x v="0"/>
    <s v="None"/>
    <n v="30"/>
    <s v="Male"/>
    <x v="23"/>
    <n v="3"/>
    <s v="Wednesday"/>
    <x v="0"/>
  </r>
  <r>
    <d v="2026-10-07T02:34:54"/>
    <x v="7"/>
    <n v="28.656199999999998"/>
    <n v="77.231499999999997"/>
    <s v="Kotwali PS"/>
    <x v="7"/>
    <x v="0"/>
    <x v="1"/>
    <s v="Blunt Object"/>
    <n v="28"/>
    <s v="Other"/>
    <x v="23"/>
    <n v="2"/>
    <s v="Wednesday"/>
    <x v="0"/>
  </r>
  <r>
    <d v="2026-10-07T02:18:20"/>
    <x v="5"/>
    <n v="28.6129"/>
    <n v="77.229500000000002"/>
    <s v="Tilak Marg PS"/>
    <x v="1"/>
    <x v="2"/>
    <x v="2"/>
    <s v="None"/>
    <n v="62"/>
    <s v="Male"/>
    <x v="23"/>
    <n v="2"/>
    <s v="Wednesday"/>
    <x v="0"/>
  </r>
  <r>
    <d v="2026-10-07T01:43:02"/>
    <x v="4"/>
    <n v="28.545300000000001"/>
    <n v="77.192499999999995"/>
    <s v="Vasant Kunj North PS"/>
    <x v="2"/>
    <x v="0"/>
    <x v="1"/>
    <s v="Firearm"/>
    <n v="62"/>
    <s v="Female"/>
    <x v="23"/>
    <n v="1"/>
    <s v="Wednesday"/>
    <x v="0"/>
  </r>
  <r>
    <d v="2026-10-07T01:38:51"/>
    <x v="7"/>
    <n v="28.656199999999998"/>
    <n v="77.231499999999997"/>
    <s v="Kotwali PS"/>
    <x v="7"/>
    <x v="0"/>
    <x v="1"/>
    <s v="Blunt Object"/>
    <n v="66"/>
    <s v="Female"/>
    <x v="23"/>
    <n v="1"/>
    <s v="Wednesday"/>
    <x v="0"/>
  </r>
  <r>
    <d v="2026-10-07T00:43:05"/>
    <x v="5"/>
    <n v="28.6129"/>
    <n v="77.229500000000002"/>
    <s v="Tilak Marg PS"/>
    <x v="0"/>
    <x v="0"/>
    <x v="1"/>
    <s v="None"/>
    <n v="44"/>
    <s v="Male"/>
    <x v="23"/>
    <n v="0"/>
    <s v="Wednesday"/>
    <x v="0"/>
  </r>
  <r>
    <d v="2026-10-06T23:32:05"/>
    <x v="4"/>
    <n v="28.545300000000001"/>
    <n v="77.192499999999995"/>
    <s v="Vasant Kunj North PS"/>
    <x v="8"/>
    <x v="0"/>
    <x v="2"/>
    <s v="None"/>
    <n v="30"/>
    <s v="Male"/>
    <x v="24"/>
    <n v="23"/>
    <s v="Tuesday"/>
    <x v="0"/>
  </r>
  <r>
    <d v="2026-10-06T20:56:27"/>
    <x v="1"/>
    <n v="28.567599999999999"/>
    <n v="77.209599999999995"/>
    <s v="Hauz Khas PS"/>
    <x v="7"/>
    <x v="3"/>
    <x v="1"/>
    <s v="Unknown"/>
    <n v="27"/>
    <s v="Female"/>
    <x v="24"/>
    <n v="20"/>
    <s v="Tuesday"/>
    <x v="1"/>
  </r>
  <r>
    <d v="2026-10-06T20:49:06"/>
    <x v="6"/>
    <n v="28.571400000000001"/>
    <n v="77.281300000000002"/>
    <s v="Sunlight Colony PS"/>
    <x v="2"/>
    <x v="3"/>
    <x v="0"/>
    <s v="None"/>
    <n v="37"/>
    <s v="Female"/>
    <x v="24"/>
    <n v="20"/>
    <s v="Tuesday"/>
    <x v="1"/>
  </r>
  <r>
    <d v="2026-10-06T20:32:06"/>
    <x v="5"/>
    <n v="28.6129"/>
    <n v="77.229500000000002"/>
    <s v="Tilak Marg PS"/>
    <x v="2"/>
    <x v="3"/>
    <x v="2"/>
    <s v="Blunt Object"/>
    <n v="66"/>
    <s v="Male"/>
    <x v="24"/>
    <n v="20"/>
    <s v="Tuesday"/>
    <x v="1"/>
  </r>
  <r>
    <d v="2026-10-06T20:14:42"/>
    <x v="1"/>
    <n v="28.567599999999999"/>
    <n v="77.209599999999995"/>
    <s v="Hauz Khas PS"/>
    <x v="7"/>
    <x v="0"/>
    <x v="2"/>
    <s v="Unknown"/>
    <n v="45"/>
    <s v="Male"/>
    <x v="24"/>
    <n v="20"/>
    <s v="Tuesday"/>
    <x v="1"/>
  </r>
  <r>
    <d v="2026-10-06T19:44:47"/>
    <x v="7"/>
    <n v="28.656199999999998"/>
    <n v="77.231499999999997"/>
    <s v="Kotwali PS"/>
    <x v="0"/>
    <x v="3"/>
    <x v="1"/>
    <s v="None"/>
    <n v="29"/>
    <s v="Other"/>
    <x v="24"/>
    <n v="19"/>
    <s v="Tuesday"/>
    <x v="1"/>
  </r>
  <r>
    <d v="2026-10-06T15:42:59"/>
    <x v="0"/>
    <n v="28.632999999999999"/>
    <n v="77.2196"/>
    <s v="Connaught Place PS"/>
    <x v="6"/>
    <x v="0"/>
    <x v="0"/>
    <s v="Firearm"/>
    <n v="30"/>
    <s v="Other"/>
    <x v="24"/>
    <n v="15"/>
    <s v="Tuesday"/>
    <x v="2"/>
  </r>
  <r>
    <d v="2026-10-06T13:49:17"/>
    <x v="7"/>
    <n v="28.656199999999998"/>
    <n v="77.231499999999997"/>
    <s v="Kotwali PS"/>
    <x v="2"/>
    <x v="0"/>
    <x v="0"/>
    <s v="Firearm"/>
    <n v="73"/>
    <s v="Other"/>
    <x v="24"/>
    <n v="13"/>
    <s v="Tuesday"/>
    <x v="2"/>
  </r>
  <r>
    <d v="2026-10-06T12:33:12"/>
    <x v="2"/>
    <n v="28.6328"/>
    <n v="77.219499999999996"/>
    <s v="Connaught Place PS"/>
    <x v="6"/>
    <x v="2"/>
    <x v="2"/>
    <s v="Blunt Object"/>
    <n v="53"/>
    <s v="Other"/>
    <x v="24"/>
    <n v="12"/>
    <s v="Tuesday"/>
    <x v="2"/>
  </r>
  <r>
    <d v="2026-10-06T11:22:48"/>
    <x v="1"/>
    <n v="28.567599999999999"/>
    <n v="77.209599999999995"/>
    <s v="Hauz Khas PS"/>
    <x v="2"/>
    <x v="1"/>
    <x v="0"/>
    <s v="Knife"/>
    <n v="69"/>
    <s v="Male"/>
    <x v="24"/>
    <n v="11"/>
    <s v="Tuesday"/>
    <x v="3"/>
  </r>
  <r>
    <d v="2026-10-06T10:25:32"/>
    <x v="4"/>
    <n v="28.545300000000001"/>
    <n v="77.192499999999995"/>
    <s v="Vasant Kunj North PS"/>
    <x v="5"/>
    <x v="2"/>
    <x v="2"/>
    <s v="None"/>
    <n v="51"/>
    <s v="Male"/>
    <x v="24"/>
    <n v="10"/>
    <s v="Tuesday"/>
    <x v="3"/>
  </r>
  <r>
    <d v="2026-10-06T05:48:25"/>
    <x v="6"/>
    <n v="28.571400000000001"/>
    <n v="77.281300000000002"/>
    <s v="Sunlight Colony PS"/>
    <x v="1"/>
    <x v="2"/>
    <x v="1"/>
    <s v="None"/>
    <n v="57"/>
    <s v="Female"/>
    <x v="24"/>
    <n v="5"/>
    <s v="Tuesday"/>
    <x v="0"/>
  </r>
  <r>
    <d v="2026-10-06T04:36:52"/>
    <x v="7"/>
    <n v="28.656199999999998"/>
    <n v="77.231499999999997"/>
    <s v="Kotwali PS"/>
    <x v="1"/>
    <x v="0"/>
    <x v="1"/>
    <s v="None"/>
    <n v="61"/>
    <s v="Male"/>
    <x v="24"/>
    <n v="4"/>
    <s v="Tuesday"/>
    <x v="0"/>
  </r>
  <r>
    <d v="2026-10-06T02:54:26"/>
    <x v="3"/>
    <n v="28.5562"/>
    <n v="77.099999999999994"/>
    <s v="IGI Airport PS"/>
    <x v="1"/>
    <x v="0"/>
    <x v="1"/>
    <s v="None"/>
    <n v="24"/>
    <s v="Male"/>
    <x v="24"/>
    <n v="2"/>
    <s v="Tuesday"/>
    <x v="0"/>
  </r>
  <r>
    <d v="2026-10-06T01:26:49"/>
    <x v="3"/>
    <n v="28.5562"/>
    <n v="77.099999999999994"/>
    <s v="IGI Airport PS"/>
    <x v="0"/>
    <x v="0"/>
    <x v="0"/>
    <s v="None"/>
    <n v="44"/>
    <s v="Other"/>
    <x v="24"/>
    <n v="1"/>
    <s v="Tuesday"/>
    <x v="0"/>
  </r>
  <r>
    <d v="2026-10-05T23:18:39"/>
    <x v="1"/>
    <n v="28.567599999999999"/>
    <n v="77.209599999999995"/>
    <s v="Hauz Khas PS"/>
    <x v="5"/>
    <x v="2"/>
    <x v="0"/>
    <s v="None"/>
    <n v="75"/>
    <s v="Other"/>
    <x v="25"/>
    <n v="23"/>
    <s v="Monday"/>
    <x v="0"/>
  </r>
  <r>
    <d v="2026-10-05T21:55:31"/>
    <x v="3"/>
    <n v="28.5562"/>
    <n v="77.099999999999994"/>
    <s v="IGI Airport PS"/>
    <x v="5"/>
    <x v="0"/>
    <x v="1"/>
    <s v="None"/>
    <n v="38"/>
    <s v="Other"/>
    <x v="25"/>
    <n v="21"/>
    <s v="Monday"/>
    <x v="0"/>
  </r>
  <r>
    <d v="2026-10-05T13:48:53"/>
    <x v="6"/>
    <n v="28.571400000000001"/>
    <n v="77.281300000000002"/>
    <s v="Sunlight Colony PS"/>
    <x v="0"/>
    <x v="0"/>
    <x v="0"/>
    <s v="None"/>
    <n v="18"/>
    <s v="Other"/>
    <x v="25"/>
    <n v="13"/>
    <s v="Monday"/>
    <x v="2"/>
  </r>
  <r>
    <d v="2026-10-05T13:37:55"/>
    <x v="4"/>
    <n v="28.545300000000001"/>
    <n v="77.192499999999995"/>
    <s v="Vasant Kunj North PS"/>
    <x v="6"/>
    <x v="2"/>
    <x v="3"/>
    <s v="None"/>
    <n v="64"/>
    <s v="Male"/>
    <x v="25"/>
    <n v="13"/>
    <s v="Monday"/>
    <x v="2"/>
  </r>
  <r>
    <d v="2026-10-05T08:11:11"/>
    <x v="3"/>
    <n v="28.5562"/>
    <n v="77.099999999999994"/>
    <s v="IGI Airport PS"/>
    <x v="3"/>
    <x v="0"/>
    <x v="3"/>
    <s v="None"/>
    <n v="34"/>
    <s v="Female"/>
    <x v="25"/>
    <n v="8"/>
    <s v="Monday"/>
    <x v="3"/>
  </r>
  <r>
    <d v="2026-10-05T07:27:29"/>
    <x v="2"/>
    <n v="28.6328"/>
    <n v="77.219499999999996"/>
    <s v="Connaught Place PS"/>
    <x v="1"/>
    <x v="0"/>
    <x v="0"/>
    <s v="None"/>
    <n v="21"/>
    <s v="Male"/>
    <x v="25"/>
    <n v="7"/>
    <s v="Monday"/>
    <x v="3"/>
  </r>
  <r>
    <d v="2026-10-05T05:36:02"/>
    <x v="6"/>
    <n v="28.571400000000001"/>
    <n v="77.281300000000002"/>
    <s v="Sunlight Colony PS"/>
    <x v="8"/>
    <x v="3"/>
    <x v="2"/>
    <s v="None"/>
    <n v="62"/>
    <s v="Female"/>
    <x v="25"/>
    <n v="5"/>
    <s v="Monday"/>
    <x v="0"/>
  </r>
  <r>
    <d v="2026-10-05T03:39:30"/>
    <x v="7"/>
    <n v="28.656199999999998"/>
    <n v="77.231499999999997"/>
    <s v="Kotwali PS"/>
    <x v="2"/>
    <x v="0"/>
    <x v="1"/>
    <s v="Knife"/>
    <n v="39"/>
    <s v="Female"/>
    <x v="25"/>
    <n v="3"/>
    <s v="Monday"/>
    <x v="0"/>
  </r>
  <r>
    <d v="2026-10-05T03:38:53"/>
    <x v="5"/>
    <n v="28.6129"/>
    <n v="77.229500000000002"/>
    <s v="Tilak Marg PS"/>
    <x v="1"/>
    <x v="0"/>
    <x v="1"/>
    <s v="None"/>
    <n v="41"/>
    <s v="Male"/>
    <x v="25"/>
    <n v="3"/>
    <s v="Monday"/>
    <x v="0"/>
  </r>
  <r>
    <d v="2026-10-05T03:17:48"/>
    <x v="7"/>
    <n v="28.656199999999998"/>
    <n v="77.231499999999997"/>
    <s v="Kotwali PS"/>
    <x v="1"/>
    <x v="2"/>
    <x v="1"/>
    <s v="None"/>
    <n v="68"/>
    <s v="Other"/>
    <x v="25"/>
    <n v="3"/>
    <s v="Monday"/>
    <x v="0"/>
  </r>
  <r>
    <d v="2026-10-05T01:53:22"/>
    <x v="0"/>
    <n v="28.632999999999999"/>
    <n v="77.2196"/>
    <s v="Connaught Place PS"/>
    <x v="7"/>
    <x v="0"/>
    <x v="1"/>
    <s v="Firearm"/>
    <n v="18"/>
    <s v="Female"/>
    <x v="25"/>
    <n v="1"/>
    <s v="Monday"/>
    <x v="0"/>
  </r>
  <r>
    <d v="2026-10-05T00:15:27"/>
    <x v="4"/>
    <n v="28.545300000000001"/>
    <n v="77.192499999999995"/>
    <s v="Vasant Kunj North PS"/>
    <x v="6"/>
    <x v="2"/>
    <x v="1"/>
    <s v="Unknown"/>
    <n v="23"/>
    <s v="Female"/>
    <x v="25"/>
    <n v="0"/>
    <s v="Monday"/>
    <x v="0"/>
  </r>
  <r>
    <d v="2026-10-04T20:44:37"/>
    <x v="7"/>
    <n v="28.656199999999998"/>
    <n v="77.231499999999997"/>
    <s v="Kotwali PS"/>
    <x v="1"/>
    <x v="2"/>
    <x v="1"/>
    <s v="None"/>
    <n v="22"/>
    <s v="Other"/>
    <x v="26"/>
    <n v="20"/>
    <s v="Sunday"/>
    <x v="1"/>
  </r>
  <r>
    <d v="2026-10-04T19:41:41"/>
    <x v="0"/>
    <n v="28.632999999999999"/>
    <n v="77.2196"/>
    <s v="Connaught Place PS"/>
    <x v="2"/>
    <x v="1"/>
    <x v="2"/>
    <s v="Blunt Object"/>
    <n v="42"/>
    <s v="Female"/>
    <x v="26"/>
    <n v="19"/>
    <s v="Sunday"/>
    <x v="1"/>
  </r>
  <r>
    <d v="2026-10-04T18:01:23"/>
    <x v="6"/>
    <n v="28.571400000000001"/>
    <n v="77.281300000000002"/>
    <s v="Sunlight Colony PS"/>
    <x v="5"/>
    <x v="0"/>
    <x v="0"/>
    <s v="None"/>
    <n v="58"/>
    <s v="Female"/>
    <x v="26"/>
    <n v="18"/>
    <s v="Sunday"/>
    <x v="1"/>
  </r>
  <r>
    <d v="2026-10-04T14:18:23"/>
    <x v="3"/>
    <n v="28.5562"/>
    <n v="77.099999999999994"/>
    <s v="IGI Airport PS"/>
    <x v="3"/>
    <x v="0"/>
    <x v="2"/>
    <s v="Knife"/>
    <n v="37"/>
    <s v="Other"/>
    <x v="26"/>
    <n v="14"/>
    <s v="Sunday"/>
    <x v="2"/>
  </r>
  <r>
    <d v="2026-10-04T14:12:27"/>
    <x v="3"/>
    <n v="28.5562"/>
    <n v="77.099999999999994"/>
    <s v="IGI Airport PS"/>
    <x v="4"/>
    <x v="1"/>
    <x v="1"/>
    <s v="Blunt Object"/>
    <n v="24"/>
    <s v="Male"/>
    <x v="26"/>
    <n v="14"/>
    <s v="Sunday"/>
    <x v="2"/>
  </r>
  <r>
    <d v="2026-10-04T14:04:35"/>
    <x v="3"/>
    <n v="28.5562"/>
    <n v="77.099999999999994"/>
    <s v="IGI Airport PS"/>
    <x v="0"/>
    <x v="0"/>
    <x v="1"/>
    <s v="None"/>
    <n v="41"/>
    <s v="Other"/>
    <x v="26"/>
    <n v="14"/>
    <s v="Sunday"/>
    <x v="2"/>
  </r>
  <r>
    <d v="2026-10-04T13:02:55"/>
    <x v="7"/>
    <n v="28.656199999999998"/>
    <n v="77.231499999999997"/>
    <s v="Kotwali PS"/>
    <x v="0"/>
    <x v="0"/>
    <x v="2"/>
    <s v="None"/>
    <n v="58"/>
    <s v="Female"/>
    <x v="26"/>
    <n v="13"/>
    <s v="Sunday"/>
    <x v="2"/>
  </r>
  <r>
    <d v="2026-10-04T12:02:19"/>
    <x v="3"/>
    <n v="28.5562"/>
    <n v="77.099999999999994"/>
    <s v="IGI Airport PS"/>
    <x v="1"/>
    <x v="2"/>
    <x v="1"/>
    <s v="None"/>
    <n v="42"/>
    <s v="Other"/>
    <x v="26"/>
    <n v="12"/>
    <s v="Sunday"/>
    <x v="2"/>
  </r>
  <r>
    <d v="2026-10-04T09:54:01"/>
    <x v="6"/>
    <n v="28.571400000000001"/>
    <n v="77.281300000000002"/>
    <s v="Sunlight Colony PS"/>
    <x v="3"/>
    <x v="2"/>
    <x v="1"/>
    <s v="Knife"/>
    <n v="23"/>
    <s v="Female"/>
    <x v="26"/>
    <n v="9"/>
    <s v="Sunday"/>
    <x v="3"/>
  </r>
  <r>
    <d v="2026-10-04T09:02:21"/>
    <x v="5"/>
    <n v="28.6129"/>
    <n v="77.229500000000002"/>
    <s v="Tilak Marg PS"/>
    <x v="1"/>
    <x v="0"/>
    <x v="1"/>
    <s v="None"/>
    <n v="53"/>
    <s v="Male"/>
    <x v="26"/>
    <n v="9"/>
    <s v="Sunday"/>
    <x v="3"/>
  </r>
  <r>
    <d v="2026-10-04T08:18:24"/>
    <x v="6"/>
    <n v="28.571400000000001"/>
    <n v="77.281300000000002"/>
    <s v="Sunlight Colony PS"/>
    <x v="7"/>
    <x v="3"/>
    <x v="2"/>
    <s v="Unknown"/>
    <n v="61"/>
    <s v="Other"/>
    <x v="26"/>
    <n v="8"/>
    <s v="Sunday"/>
    <x v="3"/>
  </r>
  <r>
    <d v="2026-10-04T08:17:05"/>
    <x v="2"/>
    <n v="28.6328"/>
    <n v="77.219499999999996"/>
    <s v="Connaught Place PS"/>
    <x v="0"/>
    <x v="0"/>
    <x v="1"/>
    <s v="None"/>
    <n v="27"/>
    <s v="Other"/>
    <x v="26"/>
    <n v="8"/>
    <s v="Sunday"/>
    <x v="3"/>
  </r>
  <r>
    <d v="2026-10-04T08:01:34"/>
    <x v="5"/>
    <n v="28.6129"/>
    <n v="77.229500000000002"/>
    <s v="Tilak Marg PS"/>
    <x v="0"/>
    <x v="0"/>
    <x v="3"/>
    <s v="None"/>
    <n v="74"/>
    <s v="Male"/>
    <x v="26"/>
    <n v="8"/>
    <s v="Sunday"/>
    <x v="3"/>
  </r>
  <r>
    <d v="2026-10-04T07:29:12"/>
    <x v="0"/>
    <n v="28.632999999999999"/>
    <n v="77.2196"/>
    <s v="Connaught Place PS"/>
    <x v="6"/>
    <x v="0"/>
    <x v="1"/>
    <s v="Knife"/>
    <n v="48"/>
    <s v="Male"/>
    <x v="26"/>
    <n v="7"/>
    <s v="Sunday"/>
    <x v="3"/>
  </r>
  <r>
    <d v="2026-10-04T07:13:23"/>
    <x v="4"/>
    <n v="28.545300000000001"/>
    <n v="77.192499999999995"/>
    <s v="Vasant Kunj North PS"/>
    <x v="5"/>
    <x v="0"/>
    <x v="1"/>
    <s v="None"/>
    <n v="39"/>
    <s v="Female"/>
    <x v="26"/>
    <n v="7"/>
    <s v="Sunday"/>
    <x v="3"/>
  </r>
  <r>
    <d v="2026-10-04T03:58:02"/>
    <x v="2"/>
    <n v="28.6328"/>
    <n v="77.219499999999996"/>
    <s v="Connaught Place PS"/>
    <x v="5"/>
    <x v="0"/>
    <x v="3"/>
    <s v="None"/>
    <n v="72"/>
    <s v="Male"/>
    <x v="26"/>
    <n v="3"/>
    <s v="Sunday"/>
    <x v="0"/>
  </r>
  <r>
    <d v="2026-10-04T03:17:56"/>
    <x v="3"/>
    <n v="28.5562"/>
    <n v="77.099999999999994"/>
    <s v="IGI Airport PS"/>
    <x v="7"/>
    <x v="0"/>
    <x v="1"/>
    <s v="Blunt Object"/>
    <n v="23"/>
    <s v="Other"/>
    <x v="26"/>
    <n v="3"/>
    <s v="Sunday"/>
    <x v="0"/>
  </r>
  <r>
    <d v="2026-10-04T02:56:53"/>
    <x v="2"/>
    <n v="28.6328"/>
    <n v="77.219499999999996"/>
    <s v="Connaught Place PS"/>
    <x v="5"/>
    <x v="2"/>
    <x v="2"/>
    <s v="None"/>
    <n v="73"/>
    <s v="Male"/>
    <x v="26"/>
    <n v="2"/>
    <s v="Sunday"/>
    <x v="0"/>
  </r>
  <r>
    <d v="2026-10-04T01:47:22"/>
    <x v="4"/>
    <n v="28.545300000000001"/>
    <n v="77.192499999999995"/>
    <s v="Vasant Kunj North PS"/>
    <x v="0"/>
    <x v="3"/>
    <x v="0"/>
    <s v="None"/>
    <n v="55"/>
    <s v="Other"/>
    <x v="26"/>
    <n v="1"/>
    <s v="Sunday"/>
    <x v="0"/>
  </r>
  <r>
    <d v="2026-10-03T23:59:21"/>
    <x v="4"/>
    <n v="28.545300000000001"/>
    <n v="77.192499999999995"/>
    <s v="Vasant Kunj North PS"/>
    <x v="1"/>
    <x v="0"/>
    <x v="2"/>
    <s v="None"/>
    <n v="64"/>
    <s v="Other"/>
    <x v="27"/>
    <n v="23"/>
    <s v="Saturday"/>
    <x v="0"/>
  </r>
  <r>
    <d v="2026-10-03T23:44:08"/>
    <x v="1"/>
    <n v="28.567599999999999"/>
    <n v="77.209599999999995"/>
    <s v="Hauz Khas PS"/>
    <x v="0"/>
    <x v="0"/>
    <x v="1"/>
    <s v="None"/>
    <n v="38"/>
    <s v="Female"/>
    <x v="27"/>
    <n v="23"/>
    <s v="Saturday"/>
    <x v="0"/>
  </r>
  <r>
    <d v="2026-10-03T22:55:35"/>
    <x v="4"/>
    <n v="28.545300000000001"/>
    <n v="77.192499999999995"/>
    <s v="Vasant Kunj North PS"/>
    <x v="7"/>
    <x v="3"/>
    <x v="1"/>
    <s v="Knife"/>
    <n v="68"/>
    <s v="Female"/>
    <x v="27"/>
    <n v="22"/>
    <s v="Saturday"/>
    <x v="0"/>
  </r>
  <r>
    <d v="2026-10-03T20:36:07"/>
    <x v="7"/>
    <n v="28.656199999999998"/>
    <n v="77.231499999999997"/>
    <s v="Kotwali PS"/>
    <x v="6"/>
    <x v="0"/>
    <x v="1"/>
    <s v="Unknown"/>
    <n v="54"/>
    <s v="Male"/>
    <x v="27"/>
    <n v="20"/>
    <s v="Saturday"/>
    <x v="1"/>
  </r>
  <r>
    <d v="2026-10-03T18:08:25"/>
    <x v="4"/>
    <n v="28.545300000000001"/>
    <n v="77.192499999999995"/>
    <s v="Vasant Kunj North PS"/>
    <x v="0"/>
    <x v="1"/>
    <x v="3"/>
    <s v="None"/>
    <n v="70"/>
    <s v="Female"/>
    <x v="27"/>
    <n v="18"/>
    <s v="Saturday"/>
    <x v="1"/>
  </r>
  <r>
    <d v="2026-10-03T14:26:03"/>
    <x v="4"/>
    <n v="28.545300000000001"/>
    <n v="77.192499999999995"/>
    <s v="Vasant Kunj North PS"/>
    <x v="4"/>
    <x v="3"/>
    <x v="1"/>
    <s v="Knife"/>
    <n v="21"/>
    <s v="Other"/>
    <x v="27"/>
    <n v="14"/>
    <s v="Saturday"/>
    <x v="2"/>
  </r>
  <r>
    <d v="2026-10-03T14:00:51"/>
    <x v="2"/>
    <n v="28.6328"/>
    <n v="77.219499999999996"/>
    <s v="Connaught Place PS"/>
    <x v="6"/>
    <x v="0"/>
    <x v="2"/>
    <s v="Blunt Object"/>
    <n v="61"/>
    <s v="Male"/>
    <x v="27"/>
    <n v="14"/>
    <s v="Saturday"/>
    <x v="2"/>
  </r>
  <r>
    <d v="2026-10-03T12:33:31"/>
    <x v="4"/>
    <n v="28.545300000000001"/>
    <n v="77.192499999999995"/>
    <s v="Vasant Kunj North PS"/>
    <x v="6"/>
    <x v="2"/>
    <x v="0"/>
    <s v="None"/>
    <n v="75"/>
    <s v="Other"/>
    <x v="27"/>
    <n v="12"/>
    <s v="Saturday"/>
    <x v="2"/>
  </r>
  <r>
    <d v="2026-10-03T11:32:23"/>
    <x v="1"/>
    <n v="28.567599999999999"/>
    <n v="77.209599999999995"/>
    <s v="Hauz Khas PS"/>
    <x v="1"/>
    <x v="2"/>
    <x v="1"/>
    <s v="None"/>
    <n v="58"/>
    <s v="Other"/>
    <x v="27"/>
    <n v="11"/>
    <s v="Saturday"/>
    <x v="3"/>
  </r>
  <r>
    <d v="2026-10-03T11:03:55"/>
    <x v="3"/>
    <n v="28.5562"/>
    <n v="77.099999999999994"/>
    <s v="IGI Airport PS"/>
    <x v="6"/>
    <x v="2"/>
    <x v="2"/>
    <s v="Firearm"/>
    <n v="54"/>
    <s v="Female"/>
    <x v="27"/>
    <n v="11"/>
    <s v="Saturday"/>
    <x v="3"/>
  </r>
  <r>
    <d v="2026-10-03T10:39:06"/>
    <x v="4"/>
    <n v="28.545300000000001"/>
    <n v="77.192499999999995"/>
    <s v="Vasant Kunj North PS"/>
    <x v="2"/>
    <x v="1"/>
    <x v="2"/>
    <s v="Unknown"/>
    <n v="56"/>
    <s v="Female"/>
    <x v="27"/>
    <n v="10"/>
    <s v="Saturday"/>
    <x v="3"/>
  </r>
  <r>
    <d v="2026-10-03T09:27:09"/>
    <x v="5"/>
    <n v="28.6129"/>
    <n v="77.229500000000002"/>
    <s v="Tilak Marg PS"/>
    <x v="1"/>
    <x v="0"/>
    <x v="1"/>
    <s v="None"/>
    <n v="35"/>
    <s v="Female"/>
    <x v="27"/>
    <n v="9"/>
    <s v="Saturday"/>
    <x v="3"/>
  </r>
  <r>
    <d v="2026-10-03T00:09:00"/>
    <x v="6"/>
    <n v="28.571400000000001"/>
    <n v="77.281300000000002"/>
    <s v="Sunlight Colony PS"/>
    <x v="2"/>
    <x v="0"/>
    <x v="3"/>
    <s v="Knife"/>
    <n v="65"/>
    <s v="Female"/>
    <x v="27"/>
    <n v="0"/>
    <s v="Saturday"/>
    <x v="0"/>
  </r>
  <r>
    <d v="2026-10-02T22:38:29"/>
    <x v="5"/>
    <n v="28.6129"/>
    <n v="77.229500000000002"/>
    <s v="Tilak Marg PS"/>
    <x v="1"/>
    <x v="3"/>
    <x v="2"/>
    <s v="None"/>
    <n v="64"/>
    <s v="Female"/>
    <x v="28"/>
    <n v="22"/>
    <s v="Friday"/>
    <x v="0"/>
  </r>
  <r>
    <d v="2026-10-02T22:36:27"/>
    <x v="1"/>
    <n v="28.567599999999999"/>
    <n v="77.209599999999995"/>
    <s v="Hauz Khas PS"/>
    <x v="1"/>
    <x v="0"/>
    <x v="2"/>
    <s v="None"/>
    <n v="70"/>
    <s v="Other"/>
    <x v="28"/>
    <n v="22"/>
    <s v="Friday"/>
    <x v="0"/>
  </r>
  <r>
    <d v="2026-10-02T21:46:20"/>
    <x v="2"/>
    <n v="28.6328"/>
    <n v="77.219499999999996"/>
    <s v="Connaught Place PS"/>
    <x v="8"/>
    <x v="0"/>
    <x v="3"/>
    <s v="None"/>
    <n v="52"/>
    <s v="Female"/>
    <x v="28"/>
    <n v="21"/>
    <s v="Friday"/>
    <x v="0"/>
  </r>
  <r>
    <d v="2026-10-02T18:45:15"/>
    <x v="1"/>
    <n v="28.567599999999999"/>
    <n v="77.209599999999995"/>
    <s v="Hauz Khas PS"/>
    <x v="5"/>
    <x v="1"/>
    <x v="1"/>
    <s v="None"/>
    <n v="57"/>
    <s v="Male"/>
    <x v="28"/>
    <n v="18"/>
    <s v="Friday"/>
    <x v="1"/>
  </r>
  <r>
    <d v="2026-10-02T17:47:06"/>
    <x v="6"/>
    <n v="28.571400000000001"/>
    <n v="77.281300000000002"/>
    <s v="Sunlight Colony PS"/>
    <x v="4"/>
    <x v="0"/>
    <x v="1"/>
    <s v="Firearm"/>
    <n v="56"/>
    <s v="Other"/>
    <x v="28"/>
    <n v="17"/>
    <s v="Friday"/>
    <x v="1"/>
  </r>
  <r>
    <d v="2026-10-02T16:55:11"/>
    <x v="7"/>
    <n v="28.656199999999998"/>
    <n v="77.231499999999997"/>
    <s v="Kotwali PS"/>
    <x v="0"/>
    <x v="2"/>
    <x v="1"/>
    <s v="None"/>
    <n v="62"/>
    <s v="Female"/>
    <x v="28"/>
    <n v="16"/>
    <s v="Friday"/>
    <x v="2"/>
  </r>
  <r>
    <d v="2026-10-02T15:59:48"/>
    <x v="6"/>
    <n v="28.571400000000001"/>
    <n v="77.281300000000002"/>
    <s v="Sunlight Colony PS"/>
    <x v="4"/>
    <x v="0"/>
    <x v="1"/>
    <s v="None"/>
    <n v="73"/>
    <s v="Other"/>
    <x v="28"/>
    <n v="15"/>
    <s v="Friday"/>
    <x v="2"/>
  </r>
  <r>
    <d v="2026-10-02T15:41:53"/>
    <x v="1"/>
    <n v="28.567599999999999"/>
    <n v="77.209599999999995"/>
    <s v="Hauz Khas PS"/>
    <x v="2"/>
    <x v="3"/>
    <x v="3"/>
    <s v="Blunt Object"/>
    <n v="74"/>
    <s v="Male"/>
    <x v="28"/>
    <n v="15"/>
    <s v="Friday"/>
    <x v="2"/>
  </r>
  <r>
    <d v="2026-10-02T14:00:08"/>
    <x v="7"/>
    <n v="28.656199999999998"/>
    <n v="77.231499999999997"/>
    <s v="Kotwali PS"/>
    <x v="1"/>
    <x v="0"/>
    <x v="2"/>
    <s v="None"/>
    <n v="42"/>
    <s v="Other"/>
    <x v="28"/>
    <n v="14"/>
    <s v="Friday"/>
    <x v="2"/>
  </r>
  <r>
    <d v="2026-10-02T11:12:28"/>
    <x v="6"/>
    <n v="28.571400000000001"/>
    <n v="77.281300000000002"/>
    <s v="Sunlight Colony PS"/>
    <x v="0"/>
    <x v="3"/>
    <x v="0"/>
    <s v="None"/>
    <n v="73"/>
    <s v="Male"/>
    <x v="28"/>
    <n v="11"/>
    <s v="Friday"/>
    <x v="3"/>
  </r>
  <r>
    <d v="2026-10-02T09:53:15"/>
    <x v="0"/>
    <n v="28.632999999999999"/>
    <n v="77.2196"/>
    <s v="Connaught Place PS"/>
    <x v="0"/>
    <x v="2"/>
    <x v="0"/>
    <s v="None"/>
    <n v="26"/>
    <s v="Female"/>
    <x v="28"/>
    <n v="9"/>
    <s v="Friday"/>
    <x v="3"/>
  </r>
  <r>
    <d v="2026-10-02T08:21:40"/>
    <x v="4"/>
    <n v="28.545300000000001"/>
    <n v="77.192499999999995"/>
    <s v="Vasant Kunj North PS"/>
    <x v="0"/>
    <x v="1"/>
    <x v="2"/>
    <s v="None"/>
    <n v="40"/>
    <s v="Other"/>
    <x v="28"/>
    <n v="8"/>
    <s v="Friday"/>
    <x v="3"/>
  </r>
  <r>
    <d v="2026-10-02T08:12:24"/>
    <x v="7"/>
    <n v="28.656199999999998"/>
    <n v="77.231499999999997"/>
    <s v="Kotwali PS"/>
    <x v="5"/>
    <x v="2"/>
    <x v="2"/>
    <s v="None"/>
    <n v="29"/>
    <s v="Female"/>
    <x v="28"/>
    <n v="8"/>
    <s v="Friday"/>
    <x v="3"/>
  </r>
  <r>
    <d v="2026-10-02T08:00:57"/>
    <x v="2"/>
    <n v="28.6328"/>
    <n v="77.219499999999996"/>
    <s v="Connaught Place PS"/>
    <x v="6"/>
    <x v="2"/>
    <x v="1"/>
    <s v="Firearm"/>
    <n v="51"/>
    <s v="Female"/>
    <x v="28"/>
    <n v="8"/>
    <s v="Friday"/>
    <x v="3"/>
  </r>
  <r>
    <d v="2026-10-02T07:37:11"/>
    <x v="6"/>
    <n v="28.571400000000001"/>
    <n v="77.281300000000002"/>
    <s v="Sunlight Colony PS"/>
    <x v="0"/>
    <x v="3"/>
    <x v="3"/>
    <s v="None"/>
    <n v="40"/>
    <s v="Male"/>
    <x v="28"/>
    <n v="7"/>
    <s v="Friday"/>
    <x v="3"/>
  </r>
  <r>
    <d v="2026-10-02T07:37:02"/>
    <x v="6"/>
    <n v="28.571400000000001"/>
    <n v="77.281300000000002"/>
    <s v="Sunlight Colony PS"/>
    <x v="0"/>
    <x v="2"/>
    <x v="2"/>
    <s v="None"/>
    <n v="45"/>
    <s v="Male"/>
    <x v="28"/>
    <n v="7"/>
    <s v="Friday"/>
    <x v="3"/>
  </r>
  <r>
    <d v="2026-10-02T05:17:54"/>
    <x v="6"/>
    <n v="28.571400000000001"/>
    <n v="77.281300000000002"/>
    <s v="Sunlight Colony PS"/>
    <x v="6"/>
    <x v="3"/>
    <x v="2"/>
    <s v="Unknown"/>
    <n v="50"/>
    <s v="Male"/>
    <x v="28"/>
    <n v="5"/>
    <s v="Friday"/>
    <x v="0"/>
  </r>
  <r>
    <d v="2026-10-02T03:19:47"/>
    <x v="5"/>
    <n v="28.6129"/>
    <n v="77.229500000000002"/>
    <s v="Tilak Marg PS"/>
    <x v="0"/>
    <x v="0"/>
    <x v="1"/>
    <s v="None"/>
    <n v="61"/>
    <s v="Other"/>
    <x v="28"/>
    <n v="3"/>
    <s v="Friday"/>
    <x v="0"/>
  </r>
  <r>
    <d v="2026-10-01T22:05:21"/>
    <x v="4"/>
    <n v="28.545300000000001"/>
    <n v="77.192499999999995"/>
    <s v="Vasant Kunj North PS"/>
    <x v="6"/>
    <x v="2"/>
    <x v="2"/>
    <s v="Firearm"/>
    <n v="72"/>
    <s v="Other"/>
    <x v="29"/>
    <n v="22"/>
    <s v="Thursday"/>
    <x v="0"/>
  </r>
  <r>
    <d v="2026-10-01T21:46:33"/>
    <x v="2"/>
    <n v="28.6328"/>
    <n v="77.219499999999996"/>
    <s v="Connaught Place PS"/>
    <x v="7"/>
    <x v="0"/>
    <x v="1"/>
    <s v="Knife"/>
    <n v="39"/>
    <s v="Other"/>
    <x v="29"/>
    <n v="21"/>
    <s v="Thursday"/>
    <x v="0"/>
  </r>
  <r>
    <d v="2026-10-01T21:10:47"/>
    <x v="7"/>
    <n v="28.656199999999998"/>
    <n v="77.231499999999997"/>
    <s v="Kotwali PS"/>
    <x v="7"/>
    <x v="1"/>
    <x v="2"/>
    <s v="None"/>
    <n v="67"/>
    <s v="Other"/>
    <x v="29"/>
    <n v="21"/>
    <s v="Thursday"/>
    <x v="0"/>
  </r>
  <r>
    <d v="2026-10-01T19:34:43"/>
    <x v="2"/>
    <n v="28.6328"/>
    <n v="77.219499999999996"/>
    <s v="Connaught Place PS"/>
    <x v="1"/>
    <x v="0"/>
    <x v="2"/>
    <s v="None"/>
    <n v="74"/>
    <s v="Female"/>
    <x v="29"/>
    <n v="19"/>
    <s v="Thursday"/>
    <x v="1"/>
  </r>
  <r>
    <d v="2026-10-01T18:13:37"/>
    <x v="5"/>
    <n v="28.6129"/>
    <n v="77.229500000000002"/>
    <s v="Tilak Marg PS"/>
    <x v="1"/>
    <x v="2"/>
    <x v="0"/>
    <s v="None"/>
    <n v="21"/>
    <s v="Female"/>
    <x v="29"/>
    <n v="18"/>
    <s v="Thursday"/>
    <x v="1"/>
  </r>
  <r>
    <d v="2026-10-01T17:42:16"/>
    <x v="1"/>
    <n v="28.567599999999999"/>
    <n v="77.209599999999995"/>
    <s v="Hauz Khas PS"/>
    <x v="7"/>
    <x v="0"/>
    <x v="1"/>
    <s v="Blunt Object"/>
    <n v="27"/>
    <s v="Male"/>
    <x v="29"/>
    <n v="17"/>
    <s v="Thursday"/>
    <x v="1"/>
  </r>
  <r>
    <d v="2026-10-01T17:14:11"/>
    <x v="4"/>
    <n v="28.545300000000001"/>
    <n v="77.192499999999995"/>
    <s v="Vasant Kunj North PS"/>
    <x v="0"/>
    <x v="2"/>
    <x v="2"/>
    <s v="None"/>
    <n v="25"/>
    <s v="Other"/>
    <x v="29"/>
    <n v="17"/>
    <s v="Thursday"/>
    <x v="1"/>
  </r>
  <r>
    <d v="2026-10-01T17:10:00"/>
    <x v="7"/>
    <n v="28.656199999999998"/>
    <n v="77.231499999999997"/>
    <s v="Kotwali PS"/>
    <x v="7"/>
    <x v="0"/>
    <x v="0"/>
    <s v="Blunt Object"/>
    <n v="52"/>
    <s v="Female"/>
    <x v="29"/>
    <n v="17"/>
    <s v="Thursday"/>
    <x v="1"/>
  </r>
  <r>
    <d v="2026-10-01T13:49:54"/>
    <x v="4"/>
    <n v="28.545300000000001"/>
    <n v="77.192499999999995"/>
    <s v="Vasant Kunj North PS"/>
    <x v="2"/>
    <x v="3"/>
    <x v="2"/>
    <s v="Blunt Object"/>
    <n v="58"/>
    <s v="Female"/>
    <x v="29"/>
    <n v="13"/>
    <s v="Thursday"/>
    <x v="2"/>
  </r>
  <r>
    <d v="2026-10-01T13:23:36"/>
    <x v="5"/>
    <n v="28.6129"/>
    <n v="77.229500000000002"/>
    <s v="Tilak Marg PS"/>
    <x v="0"/>
    <x v="0"/>
    <x v="2"/>
    <s v="None"/>
    <n v="21"/>
    <s v="Female"/>
    <x v="29"/>
    <n v="13"/>
    <s v="Thursday"/>
    <x v="2"/>
  </r>
  <r>
    <d v="2026-10-01T11:31:06"/>
    <x v="5"/>
    <n v="28.6129"/>
    <n v="77.229500000000002"/>
    <s v="Tilak Marg PS"/>
    <x v="0"/>
    <x v="0"/>
    <x v="2"/>
    <s v="None"/>
    <n v="55"/>
    <s v="Other"/>
    <x v="29"/>
    <n v="11"/>
    <s v="Thursday"/>
    <x v="3"/>
  </r>
  <r>
    <d v="2026-10-01T10:28:31"/>
    <x v="4"/>
    <n v="28.545300000000001"/>
    <n v="77.192499999999995"/>
    <s v="Vasant Kunj North PS"/>
    <x v="1"/>
    <x v="0"/>
    <x v="3"/>
    <s v="None"/>
    <n v="50"/>
    <s v="Other"/>
    <x v="29"/>
    <n v="10"/>
    <s v="Thursday"/>
    <x v="3"/>
  </r>
  <r>
    <d v="2026-10-01T08:42:23"/>
    <x v="7"/>
    <n v="28.656199999999998"/>
    <n v="77.231499999999997"/>
    <s v="Kotwali PS"/>
    <x v="0"/>
    <x v="0"/>
    <x v="2"/>
    <s v="None"/>
    <n v="57"/>
    <s v="Male"/>
    <x v="29"/>
    <n v="8"/>
    <s v="Thursday"/>
    <x v="3"/>
  </r>
  <r>
    <d v="2026-10-01T06:58:26"/>
    <x v="0"/>
    <n v="28.632999999999999"/>
    <n v="77.2196"/>
    <s v="Connaught Place PS"/>
    <x v="1"/>
    <x v="0"/>
    <x v="0"/>
    <s v="None"/>
    <n v="27"/>
    <s v="Male"/>
    <x v="29"/>
    <n v="6"/>
    <s v="Thursday"/>
    <x v="3"/>
  </r>
  <r>
    <d v="2026-10-01T06:57:59"/>
    <x v="1"/>
    <n v="28.567599999999999"/>
    <n v="77.209599999999995"/>
    <s v="Hauz Khas PS"/>
    <x v="2"/>
    <x v="0"/>
    <x v="2"/>
    <s v="None"/>
    <n v="39"/>
    <s v="Male"/>
    <x v="29"/>
    <n v="6"/>
    <s v="Thursday"/>
    <x v="3"/>
  </r>
  <r>
    <d v="2026-10-01T05:39:35"/>
    <x v="1"/>
    <n v="28.567599999999999"/>
    <n v="77.209599999999995"/>
    <s v="Hauz Khas PS"/>
    <x v="3"/>
    <x v="2"/>
    <x v="1"/>
    <s v="Firearm"/>
    <n v="48"/>
    <s v="Other"/>
    <x v="29"/>
    <n v="5"/>
    <s v="Thursday"/>
    <x v="0"/>
  </r>
  <r>
    <d v="2026-10-01T03:47:48"/>
    <x v="2"/>
    <n v="28.6328"/>
    <n v="77.219499999999996"/>
    <s v="Connaught Place PS"/>
    <x v="1"/>
    <x v="2"/>
    <x v="1"/>
    <s v="None"/>
    <n v="52"/>
    <s v="Female"/>
    <x v="29"/>
    <n v="3"/>
    <s v="Thursday"/>
    <x v="0"/>
  </r>
  <r>
    <d v="2026-10-01T03:32:46"/>
    <x v="7"/>
    <n v="28.656199999999998"/>
    <n v="77.231499999999997"/>
    <s v="Kotwali PS"/>
    <x v="8"/>
    <x v="0"/>
    <x v="2"/>
    <s v="None"/>
    <n v="29"/>
    <s v="Other"/>
    <x v="29"/>
    <n v="3"/>
    <s v="Thursday"/>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EFB4BD7-1EFB-4552-BEFD-5A1627D569B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J15:K20" firstHeaderRow="1" firstDataRow="1" firstDataCol="1"/>
  <pivotFields count="15">
    <pivotField numFmtId="164" showAll="0"/>
    <pivotField showAll="0">
      <items count="9">
        <item x="1"/>
        <item x="7"/>
        <item x="0"/>
        <item x="6"/>
        <item x="5"/>
        <item x="3"/>
        <item x="4"/>
        <item x="2"/>
        <item t="default"/>
      </items>
    </pivotField>
    <pivotField showAll="0"/>
    <pivotField showAll="0"/>
    <pivotField showAll="0"/>
    <pivotField dataField="1" showAll="0">
      <items count="10">
        <item x="2"/>
        <item x="7"/>
        <item x="8"/>
        <item x="3"/>
        <item x="5"/>
        <item x="4"/>
        <item x="1"/>
        <item x="6"/>
        <item x="0"/>
        <item t="default"/>
      </items>
    </pivotField>
    <pivotField showAll="0">
      <items count="5">
        <item x="1"/>
        <item x="3"/>
        <item x="2"/>
        <item x="0"/>
        <item t="default"/>
      </items>
    </pivotField>
    <pivotField showAll="0">
      <items count="5">
        <item x="1"/>
        <item x="2"/>
        <item x="0"/>
        <item x="3"/>
        <item t="default"/>
      </items>
    </pivotField>
    <pivotField showAll="0"/>
    <pivotField showAll="0"/>
    <pivotField showAll="0"/>
    <pivotField numFmtId="165" showAll="0"/>
    <pivotField showAll="0"/>
    <pivotField showAll="0"/>
    <pivotField axis="axisRow" showAll="0">
      <items count="5">
        <item x="2"/>
        <item x="1"/>
        <item x="3"/>
        <item x="0"/>
        <item t="default"/>
      </items>
    </pivotField>
  </pivotFields>
  <rowFields count="1">
    <field x="14"/>
  </rowFields>
  <rowItems count="5">
    <i>
      <x/>
    </i>
    <i>
      <x v="1"/>
    </i>
    <i>
      <x v="2"/>
    </i>
    <i>
      <x v="3"/>
    </i>
    <i t="grand">
      <x/>
    </i>
  </rowItems>
  <colItems count="1">
    <i/>
  </colItems>
  <dataFields count="1">
    <dataField name="Count of Crime_Type" fld="5"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B6C88FA-9CA2-4D1B-9B6B-A1DD937C600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I3:J8" firstHeaderRow="1" firstDataRow="1" firstDataCol="1"/>
  <pivotFields count="15">
    <pivotField numFmtId="164" showAll="0"/>
    <pivotField showAll="0">
      <items count="9">
        <item x="1"/>
        <item x="7"/>
        <item x="0"/>
        <item x="6"/>
        <item x="5"/>
        <item x="3"/>
        <item x="4"/>
        <item x="2"/>
        <item t="default"/>
      </items>
    </pivotField>
    <pivotField showAll="0"/>
    <pivotField showAll="0"/>
    <pivotField showAll="0"/>
    <pivotField dataField="1" showAll="0">
      <items count="10">
        <item x="2"/>
        <item x="7"/>
        <item x="8"/>
        <item x="3"/>
        <item x="5"/>
        <item x="4"/>
        <item x="1"/>
        <item x="6"/>
        <item x="0"/>
        <item t="default"/>
      </items>
    </pivotField>
    <pivotField showAll="0">
      <items count="5">
        <item x="1"/>
        <item x="3"/>
        <item x="2"/>
        <item x="0"/>
        <item t="default"/>
      </items>
    </pivotField>
    <pivotField axis="axisRow" showAll="0">
      <items count="5">
        <item x="1"/>
        <item x="2"/>
        <item x="0"/>
        <item x="3"/>
        <item t="default"/>
      </items>
    </pivotField>
    <pivotField showAll="0"/>
    <pivotField showAll="0"/>
    <pivotField showAll="0"/>
    <pivotField numFmtId="165" showAll="0"/>
    <pivotField showAll="0"/>
    <pivotField showAll="0"/>
    <pivotField showAll="0">
      <items count="5">
        <item x="2"/>
        <item x="1"/>
        <item x="3"/>
        <item x="0"/>
        <item t="default"/>
      </items>
    </pivotField>
  </pivotFields>
  <rowFields count="1">
    <field x="7"/>
  </rowFields>
  <rowItems count="5">
    <i>
      <x/>
    </i>
    <i>
      <x v="1"/>
    </i>
    <i>
      <x v="2"/>
    </i>
    <i>
      <x v="3"/>
    </i>
    <i t="grand">
      <x/>
    </i>
  </rowItems>
  <colItems count="1">
    <i/>
  </colItems>
  <dataFields count="1">
    <dataField name="Count of Crime_Type" fld="5"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BD49B6B-D616-4710-A51E-A86E3897A56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14:F19" firstHeaderRow="1" firstDataRow="1" firstDataCol="1"/>
  <pivotFields count="15">
    <pivotField numFmtId="164" showAll="0"/>
    <pivotField showAll="0">
      <items count="9">
        <item x="1"/>
        <item x="7"/>
        <item x="0"/>
        <item x="6"/>
        <item x="5"/>
        <item x="3"/>
        <item x="4"/>
        <item x="2"/>
        <item t="default"/>
      </items>
    </pivotField>
    <pivotField showAll="0"/>
    <pivotField showAll="0"/>
    <pivotField showAll="0"/>
    <pivotField dataField="1" showAll="0">
      <items count="10">
        <item x="2"/>
        <item x="7"/>
        <item x="8"/>
        <item x="3"/>
        <item x="5"/>
        <item x="4"/>
        <item x="1"/>
        <item x="6"/>
        <item x="0"/>
        <item t="default"/>
      </items>
    </pivotField>
    <pivotField axis="axisRow" showAll="0">
      <items count="5">
        <item x="1"/>
        <item x="3"/>
        <item x="2"/>
        <item x="0"/>
        <item t="default"/>
      </items>
    </pivotField>
    <pivotField showAll="0">
      <items count="5">
        <item x="1"/>
        <item x="2"/>
        <item x="0"/>
        <item x="3"/>
        <item t="default"/>
      </items>
    </pivotField>
    <pivotField showAll="0"/>
    <pivotField showAll="0"/>
    <pivotField showAll="0"/>
    <pivotField numFmtId="165" showAll="0"/>
    <pivotField showAll="0"/>
    <pivotField showAll="0"/>
    <pivotField showAll="0">
      <items count="5">
        <item x="2"/>
        <item x="1"/>
        <item x="3"/>
        <item x="0"/>
        <item t="default"/>
      </items>
    </pivotField>
  </pivotFields>
  <rowFields count="1">
    <field x="6"/>
  </rowFields>
  <rowItems count="5">
    <i>
      <x/>
    </i>
    <i>
      <x v="1"/>
    </i>
    <i>
      <x v="2"/>
    </i>
    <i>
      <x v="3"/>
    </i>
    <i t="grand">
      <x/>
    </i>
  </rowItems>
  <colItems count="1">
    <i/>
  </colItems>
  <dataFields count="1">
    <dataField name="Count of Crime_Type" fld="5" subtotal="count" baseField="0" baseItem="0"/>
  </dataField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6" count="1" selected="0">
            <x v="0"/>
          </reference>
        </references>
      </pivotArea>
    </chartFormat>
    <chartFormat chart="3" format="8">
      <pivotArea type="data" outline="0" fieldPosition="0">
        <references count="2">
          <reference field="4294967294" count="1" selected="0">
            <x v="0"/>
          </reference>
          <reference field="6" count="1" selected="0">
            <x v="1"/>
          </reference>
        </references>
      </pivotArea>
    </chartFormat>
    <chartFormat chart="3" format="9">
      <pivotArea type="data" outline="0" fieldPosition="0">
        <references count="2">
          <reference field="4294967294" count="1" selected="0">
            <x v="0"/>
          </reference>
          <reference field="6" count="1" selected="0">
            <x v="2"/>
          </reference>
        </references>
      </pivotArea>
    </chartFormat>
    <chartFormat chart="3" format="10">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8CAFB24-9689-4785-A47D-4ED37F02B41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3:F12" firstHeaderRow="1" firstDataRow="1" firstDataCol="1"/>
  <pivotFields count="15">
    <pivotField numFmtId="164" showAll="0"/>
    <pivotField axis="axisRow" showAll="0">
      <items count="9">
        <item x="1"/>
        <item x="7"/>
        <item x="0"/>
        <item x="6"/>
        <item x="5"/>
        <item x="3"/>
        <item x="4"/>
        <item x="2"/>
        <item t="default"/>
      </items>
    </pivotField>
    <pivotField showAll="0"/>
    <pivotField showAll="0"/>
    <pivotField showAll="0"/>
    <pivotField dataField="1" showAll="0">
      <items count="10">
        <item x="2"/>
        <item x="7"/>
        <item x="8"/>
        <item x="3"/>
        <item x="5"/>
        <item x="4"/>
        <item x="1"/>
        <item x="6"/>
        <item x="0"/>
        <item t="default"/>
      </items>
    </pivotField>
    <pivotField showAll="0">
      <items count="5">
        <item x="1"/>
        <item x="3"/>
        <item x="2"/>
        <item x="0"/>
        <item t="default"/>
      </items>
    </pivotField>
    <pivotField showAll="0">
      <items count="5">
        <item x="1"/>
        <item x="2"/>
        <item x="0"/>
        <item x="3"/>
        <item t="default"/>
      </items>
    </pivotField>
    <pivotField showAll="0"/>
    <pivotField showAll="0"/>
    <pivotField showAll="0"/>
    <pivotField numFmtId="165" showAll="0"/>
    <pivotField showAll="0"/>
    <pivotField showAll="0"/>
    <pivotField showAll="0">
      <items count="5">
        <item x="2"/>
        <item x="1"/>
        <item x="3"/>
        <item x="0"/>
        <item t="default"/>
      </items>
    </pivotField>
  </pivotFields>
  <rowFields count="1">
    <field x="1"/>
  </rowFields>
  <rowItems count="9">
    <i>
      <x/>
    </i>
    <i>
      <x v="1"/>
    </i>
    <i>
      <x v="2"/>
    </i>
    <i>
      <x v="3"/>
    </i>
    <i>
      <x v="4"/>
    </i>
    <i>
      <x v="5"/>
    </i>
    <i>
      <x v="6"/>
    </i>
    <i>
      <x v="7"/>
    </i>
    <i t="grand">
      <x/>
    </i>
  </rowItems>
  <colItems count="1">
    <i/>
  </colItems>
  <dataFields count="1">
    <dataField name="Count of Crime_Type" fld="5"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8115FDD-9951-4872-A02A-38FDD669C1E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3" firstHeaderRow="1" firstDataRow="1" firstDataCol="1"/>
  <pivotFields count="15">
    <pivotField numFmtId="164" showAll="0"/>
    <pivotField showAll="0">
      <items count="9">
        <item x="1"/>
        <item x="7"/>
        <item x="0"/>
        <item x="6"/>
        <item x="5"/>
        <item x="3"/>
        <item x="4"/>
        <item x="2"/>
        <item t="default"/>
      </items>
    </pivotField>
    <pivotField showAll="0"/>
    <pivotField showAll="0"/>
    <pivotField showAll="0"/>
    <pivotField axis="axisRow" dataField="1" showAll="0">
      <items count="10">
        <item x="2"/>
        <item x="7"/>
        <item x="8"/>
        <item x="3"/>
        <item x="5"/>
        <item x="4"/>
        <item x="1"/>
        <item x="6"/>
        <item x="0"/>
        <item t="default"/>
      </items>
    </pivotField>
    <pivotField showAll="0">
      <items count="5">
        <item x="1"/>
        <item x="3"/>
        <item x="2"/>
        <item x="0"/>
        <item t="default"/>
      </items>
    </pivotField>
    <pivotField showAll="0">
      <items count="5">
        <item x="1"/>
        <item x="2"/>
        <item x="0"/>
        <item x="3"/>
        <item t="default"/>
      </items>
    </pivotField>
    <pivotField showAll="0"/>
    <pivotField showAll="0"/>
    <pivotField showAll="0"/>
    <pivotField numFmtId="165" showAll="0"/>
    <pivotField showAll="0"/>
    <pivotField showAll="0"/>
    <pivotField showAll="0">
      <items count="5">
        <item x="2"/>
        <item x="1"/>
        <item x="3"/>
        <item x="0"/>
        <item t="default"/>
      </items>
    </pivotField>
  </pivotFields>
  <rowFields count="1">
    <field x="5"/>
  </rowFields>
  <rowItems count="10">
    <i>
      <x/>
    </i>
    <i>
      <x v="1"/>
    </i>
    <i>
      <x v="2"/>
    </i>
    <i>
      <x v="3"/>
    </i>
    <i>
      <x v="4"/>
    </i>
    <i>
      <x v="5"/>
    </i>
    <i>
      <x v="6"/>
    </i>
    <i>
      <x v="7"/>
    </i>
    <i>
      <x v="8"/>
    </i>
    <i t="grand">
      <x/>
    </i>
  </rowItems>
  <colItems count="1">
    <i/>
  </colItems>
  <dataFields count="1">
    <dataField name="Count of Crime_Type" fld="5" subtotal="count"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FD91071-D845-4C97-9340-16069A7097DB}"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N3:O34" firstHeaderRow="1" firstDataRow="1" firstDataCol="1"/>
  <pivotFields count="15">
    <pivotField numFmtId="164" showAll="0"/>
    <pivotField showAll="0">
      <items count="9">
        <item x="1"/>
        <item x="7"/>
        <item x="0"/>
        <item x="6"/>
        <item x="5"/>
        <item x="3"/>
        <item x="4"/>
        <item x="2"/>
        <item t="default"/>
      </items>
    </pivotField>
    <pivotField showAll="0"/>
    <pivotField showAll="0"/>
    <pivotField showAll="0"/>
    <pivotField dataField="1" showAll="0">
      <items count="10">
        <item x="2"/>
        <item x="7"/>
        <item x="8"/>
        <item x="3"/>
        <item x="5"/>
        <item x="4"/>
        <item x="1"/>
        <item x="6"/>
        <item x="0"/>
        <item t="default"/>
      </items>
    </pivotField>
    <pivotField showAll="0">
      <items count="5">
        <item x="1"/>
        <item x="3"/>
        <item x="2"/>
        <item x="0"/>
        <item t="default"/>
      </items>
    </pivotField>
    <pivotField showAll="0">
      <items count="5">
        <item x="1"/>
        <item x="2"/>
        <item x="0"/>
        <item x="3"/>
        <item t="default"/>
      </items>
    </pivotField>
    <pivotField showAll="0"/>
    <pivotField showAll="0"/>
    <pivotField showAll="0"/>
    <pivotField axis="axisRow" numFmtId="165" showAll="0">
      <items count="31">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items count="5">
        <item x="2"/>
        <item x="1"/>
        <item x="3"/>
        <item x="0"/>
        <item t="default"/>
      </items>
    </pivotField>
  </pivotFields>
  <rowFields count="1">
    <field x="1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Count of Crime_Type" fld="5"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333565D0-A13B-4037-9937-E13D0B0B229E}" sourceName="Location">
  <pivotTables>
    <pivotTable tabId="4" name="PivotTable2"/>
    <pivotTable tabId="4" name="PivotTable1"/>
    <pivotTable tabId="4" name="PivotTable4"/>
    <pivotTable tabId="4" name="PivotTable5"/>
    <pivotTable tabId="4" name="PivotTable6"/>
    <pivotTable tabId="4" name="PivotTable7"/>
  </pivotTables>
  <data>
    <tabular pivotCacheId="470319575">
      <items count="8">
        <i x="1" s="1"/>
        <i x="7" s="1"/>
        <i x="0" s="1"/>
        <i x="6" s="1"/>
        <i x="5" s="1"/>
        <i x="3"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rime_Type" xr10:uid="{C761E203-1884-4E94-9E94-4407AF22F2E9}" sourceName="Crime_Type">
  <pivotTables>
    <pivotTable tabId="4" name="PivotTable2"/>
    <pivotTable tabId="4" name="PivotTable1"/>
    <pivotTable tabId="4" name="PivotTable4"/>
    <pivotTable tabId="4" name="PivotTable5"/>
    <pivotTable tabId="4" name="PivotTable6"/>
    <pivotTable tabId="4" name="PivotTable7"/>
  </pivotTables>
  <data>
    <tabular pivotCacheId="470319575">
      <items count="9">
        <i x="2" s="1"/>
        <i x="7" s="1"/>
        <i x="8" s="1"/>
        <i x="3" s="1"/>
        <i x="5" s="1"/>
        <i x="4" s="1"/>
        <i x="1" s="1"/>
        <i x="6"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verity" xr10:uid="{B7F753D1-733A-412A-B0CD-B3D4E5BEC562}" sourceName="Severity">
  <pivotTables>
    <pivotTable tabId="4" name="PivotTable2"/>
    <pivotTable tabId="4" name="PivotTable1"/>
    <pivotTable tabId="4" name="PivotTable4"/>
    <pivotTable tabId="4" name="PivotTable5"/>
    <pivotTable tabId="4" name="PivotTable6"/>
    <pivotTable tabId="4" name="PivotTable7"/>
  </pivotTables>
  <data>
    <tabular pivotCacheId="470319575">
      <items count="4">
        <i x="1" s="1"/>
        <i x="3"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se_Status" xr10:uid="{C11E45CE-BDF6-4F0B-AABF-CC60D234A872}" sourceName="Case_Status">
  <pivotTables>
    <pivotTable tabId="4" name="PivotTable2"/>
    <pivotTable tabId="4" name="PivotTable1"/>
    <pivotTable tabId="4" name="PivotTable4"/>
    <pivotTable tabId="4" name="PivotTable5"/>
    <pivotTable tabId="4" name="PivotTable6"/>
    <pivotTable tabId="4" name="PivotTable7"/>
  </pivotTables>
  <data>
    <tabular pivotCacheId="470319575">
      <items count="4">
        <i x="1" s="1"/>
        <i x="2" s="1"/>
        <i x="0"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e_Period" xr10:uid="{FE9F5634-7E0C-405E-9E75-E2B2DC4B18ED}" sourceName="Time_Period">
  <pivotTables>
    <pivotTable tabId="4" name="PivotTable2"/>
    <pivotTable tabId="4" name="PivotTable1"/>
    <pivotTable tabId="4" name="PivotTable4"/>
    <pivotTable tabId="4" name="PivotTable5"/>
    <pivotTable tabId="4" name="PivotTable6"/>
    <pivotTable tabId="4" name="PivotTable7"/>
  </pivotTables>
  <data>
    <tabular pivotCacheId="470319575">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xr10:uid="{478357C7-0C9B-46E7-A38F-D7E339530BB6}" cache="Slicer_Location" caption="Location" style="SlicerStyleDark1 2" rowHeight="324000"/>
  <slicer name="Crime_Type" xr10:uid="{6D875518-4BE7-4E12-8044-97C4DF8CBA40}" cache="Slicer_Crime_Type" caption="Crime_Type" style="SlicerStyleDark1 2" rowHeight="324000"/>
  <slicer name="Severity" xr10:uid="{2430DC0C-868A-4B65-BFE5-4A8736CEDE84}" cache="Slicer_Severity" caption="Severity" style="SlicerStyleDark1 2" rowHeight="324000"/>
  <slicer name="Case_Status" xr10:uid="{88452DE6-D007-407B-8EE2-FEDDA64408F3}" cache="Slicer_Case_Status" caption="Case_Status" style="SlicerStyleDark1 2" rowHeight="324000"/>
  <slicer name="Time_Period" xr10:uid="{ACC6EC9B-03FC-4F71-A40C-BC0A36D4A121}" cache="Slicer_Time_Period" caption="Time_Period" style="SlicerStyleDark1 2" rowHeight="32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DBC5420-2830-4205-AFE2-5BD04EAA65AF}" name="CrimeTable" displayName="CrimeTable" ref="A1:O501" totalsRowShown="0" headerRowDxfId="18" headerRowBorderDxfId="17" tableBorderDxfId="16" totalsRowBorderDxfId="15">
  <autoFilter ref="A1:O501" xr:uid="{ADBC5420-2830-4205-AFE2-5BD04EAA65AF}"/>
  <tableColumns count="15">
    <tableColumn id="1" xr3:uid="{E735D3BB-22AB-4C15-BC2B-6CBBE079F4A7}" name="Timestamp" dataDxfId="14"/>
    <tableColumn id="2" xr3:uid="{6CC7FFE5-81C6-4CA8-BA12-B66C43AAA85D}" name="Location" dataDxfId="13"/>
    <tableColumn id="3" xr3:uid="{3F063C4B-F768-44EC-94EC-CAFF23E183A2}" name="Latitude" dataDxfId="12"/>
    <tableColumn id="4" xr3:uid="{0DD9A004-5288-48F2-955A-927B081241F3}" name="Longitude" dataDxfId="11"/>
    <tableColumn id="5" xr3:uid="{2CE4FCF1-7E91-4A62-8FA9-E033AAD6B864}" name="Police_Station" dataDxfId="10"/>
    <tableColumn id="6" xr3:uid="{B1A857AF-987E-402E-96E7-2A43BBC9333F}" name="Crime_Type" dataDxfId="9"/>
    <tableColumn id="7" xr3:uid="{42A4A39D-07A6-41A1-9C4E-502086BA99C8}" name="Severity" dataDxfId="8"/>
    <tableColumn id="8" xr3:uid="{7C1BA787-FCB5-4D07-863C-E9E2FBC69C43}" name="Case_Status" dataDxfId="7"/>
    <tableColumn id="9" xr3:uid="{E55CE134-FF72-4182-95F7-CC8F904B7C49}" name="Weapon_or_Method" dataDxfId="6"/>
    <tableColumn id="10" xr3:uid="{69654F57-423E-46D2-9D0A-D1E63CA70AAE}" name="Victim_Age" dataDxfId="5"/>
    <tableColumn id="11" xr3:uid="{F2B0C3A9-F583-427E-8E3D-451E37CC3C56}" name="Victim_Gender" dataDxfId="4"/>
    <tableColumn id="12" xr3:uid="{391BFB4D-BAD7-4F83-98C0-63918C0AA380}" name="Date" dataDxfId="3"/>
    <tableColumn id="13" xr3:uid="{156C3025-652E-4F4F-91BB-309DCF92D9CF}" name="Hour" dataDxfId="2"/>
    <tableColumn id="14" xr3:uid="{21BB3BCF-437A-4D75-B81D-2FC38C998E41}" name="Day" dataDxfId="1"/>
    <tableColumn id="15" xr3:uid="{4CCA9B1F-1262-41CC-977B-96D74F07CA77}" name="Time_Period"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9E6F7-6B27-499D-8BD5-AAB0CBF7DA60}">
  <dimension ref="A3:O34"/>
  <sheetViews>
    <sheetView workbookViewId="0">
      <selection activeCell="K18" sqref="K18"/>
    </sheetView>
  </sheetViews>
  <sheetFormatPr defaultRowHeight="14.4" x14ac:dyDescent="0.3"/>
  <cols>
    <col min="1" max="1" width="12.5546875" bestFit="1" customWidth="1"/>
    <col min="2" max="2" width="19" bestFit="1" customWidth="1"/>
    <col min="5" max="5" width="12.5546875" bestFit="1" customWidth="1"/>
    <col min="6" max="6" width="19" bestFit="1" customWidth="1"/>
    <col min="9" max="10" width="12.5546875" bestFit="1" customWidth="1"/>
    <col min="11" max="11" width="19" bestFit="1" customWidth="1"/>
    <col min="14" max="14" width="12.5546875" bestFit="1" customWidth="1"/>
    <col min="15" max="15" width="19" bestFit="1" customWidth="1"/>
  </cols>
  <sheetData>
    <row r="3" spans="1:15" x14ac:dyDescent="0.3">
      <c r="A3" s="9" t="s">
        <v>66</v>
      </c>
      <c r="B3" t="s">
        <v>68</v>
      </c>
      <c r="E3" s="9" t="s">
        <v>66</v>
      </c>
      <c r="F3" t="s">
        <v>68</v>
      </c>
      <c r="I3" s="9" t="s">
        <v>66</v>
      </c>
      <c r="J3" t="s">
        <v>68</v>
      </c>
      <c r="N3" s="9" t="s">
        <v>66</v>
      </c>
      <c r="O3" t="s">
        <v>68</v>
      </c>
    </row>
    <row r="4" spans="1:15" x14ac:dyDescent="0.3">
      <c r="A4" s="10" t="s">
        <v>30</v>
      </c>
      <c r="B4" s="32">
        <v>56</v>
      </c>
      <c r="E4" s="10" t="s">
        <v>24</v>
      </c>
      <c r="F4" s="32">
        <v>59</v>
      </c>
      <c r="I4" s="10" t="s">
        <v>27</v>
      </c>
      <c r="J4" s="32">
        <v>187</v>
      </c>
      <c r="N4" s="11">
        <v>46296</v>
      </c>
      <c r="O4" s="32">
        <v>18</v>
      </c>
    </row>
    <row r="5" spans="1:15" x14ac:dyDescent="0.3">
      <c r="A5" s="10" t="s">
        <v>53</v>
      </c>
      <c r="B5" s="32">
        <v>47</v>
      </c>
      <c r="E5" s="10" t="s">
        <v>54</v>
      </c>
      <c r="F5" s="32">
        <v>64</v>
      </c>
      <c r="I5" s="10" t="s">
        <v>32</v>
      </c>
      <c r="J5" s="32">
        <v>180</v>
      </c>
      <c r="N5" s="11">
        <v>46297</v>
      </c>
      <c r="O5" s="32">
        <v>18</v>
      </c>
    </row>
    <row r="6" spans="1:15" x14ac:dyDescent="0.3">
      <c r="A6" s="10" t="s">
        <v>58</v>
      </c>
      <c r="B6" s="32">
        <v>32</v>
      </c>
      <c r="E6" s="10" t="s">
        <v>15</v>
      </c>
      <c r="F6" s="32">
        <v>51</v>
      </c>
      <c r="I6" s="10" t="s">
        <v>19</v>
      </c>
      <c r="J6" s="32">
        <v>87</v>
      </c>
      <c r="N6" s="11">
        <v>46298</v>
      </c>
      <c r="O6" s="32">
        <v>13</v>
      </c>
    </row>
    <row r="7" spans="1:15" x14ac:dyDescent="0.3">
      <c r="A7" s="10" t="s">
        <v>35</v>
      </c>
      <c r="B7" s="32">
        <v>26</v>
      </c>
      <c r="E7" s="10" t="s">
        <v>46</v>
      </c>
      <c r="F7" s="32">
        <v>55</v>
      </c>
      <c r="I7" s="10" t="s">
        <v>61</v>
      </c>
      <c r="J7" s="32">
        <v>46</v>
      </c>
      <c r="N7" s="11">
        <v>46299</v>
      </c>
      <c r="O7" s="32">
        <v>19</v>
      </c>
    </row>
    <row r="8" spans="1:15" x14ac:dyDescent="0.3">
      <c r="A8" s="10" t="s">
        <v>48</v>
      </c>
      <c r="B8" s="32">
        <v>64</v>
      </c>
      <c r="E8" s="10" t="s">
        <v>42</v>
      </c>
      <c r="F8" s="32">
        <v>68</v>
      </c>
      <c r="I8" s="10" t="s">
        <v>67</v>
      </c>
      <c r="J8" s="32">
        <v>500</v>
      </c>
      <c r="N8" s="11">
        <v>46300</v>
      </c>
      <c r="O8" s="32">
        <v>12</v>
      </c>
    </row>
    <row r="9" spans="1:15" x14ac:dyDescent="0.3">
      <c r="A9" s="10" t="s">
        <v>44</v>
      </c>
      <c r="B9" s="32">
        <v>49</v>
      </c>
      <c r="E9" s="10" t="s">
        <v>37</v>
      </c>
      <c r="F9" s="32">
        <v>68</v>
      </c>
      <c r="N9" s="11">
        <v>46301</v>
      </c>
      <c r="O9" s="32">
        <v>15</v>
      </c>
    </row>
    <row r="10" spans="1:15" x14ac:dyDescent="0.3">
      <c r="A10" s="10" t="s">
        <v>26</v>
      </c>
      <c r="B10" s="32">
        <v>101</v>
      </c>
      <c r="E10" s="10" t="s">
        <v>40</v>
      </c>
      <c r="F10" s="32">
        <v>66</v>
      </c>
      <c r="N10" s="11">
        <v>46302</v>
      </c>
      <c r="O10" s="32">
        <v>16</v>
      </c>
    </row>
    <row r="11" spans="1:15" x14ac:dyDescent="0.3">
      <c r="A11" s="10" t="s">
        <v>52</v>
      </c>
      <c r="B11" s="32">
        <v>45</v>
      </c>
      <c r="E11" s="10" t="s">
        <v>29</v>
      </c>
      <c r="F11" s="32">
        <v>69</v>
      </c>
      <c r="N11" s="11">
        <v>46303</v>
      </c>
      <c r="O11" s="32">
        <v>21</v>
      </c>
    </row>
    <row r="12" spans="1:15" x14ac:dyDescent="0.3">
      <c r="A12" s="10" t="s">
        <v>17</v>
      </c>
      <c r="B12" s="32">
        <v>80</v>
      </c>
      <c r="E12" s="10" t="s">
        <v>67</v>
      </c>
      <c r="F12" s="32">
        <v>500</v>
      </c>
      <c r="N12" s="11">
        <v>46304</v>
      </c>
      <c r="O12" s="32">
        <v>10</v>
      </c>
    </row>
    <row r="13" spans="1:15" x14ac:dyDescent="0.3">
      <c r="A13" s="10" t="s">
        <v>67</v>
      </c>
      <c r="B13" s="32">
        <v>500</v>
      </c>
      <c r="N13" s="11">
        <v>46305</v>
      </c>
      <c r="O13" s="32">
        <v>17</v>
      </c>
    </row>
    <row r="14" spans="1:15" x14ac:dyDescent="0.3">
      <c r="E14" s="9" t="s">
        <v>66</v>
      </c>
      <c r="F14" t="s">
        <v>68</v>
      </c>
      <c r="N14" s="11">
        <v>46306</v>
      </c>
      <c r="O14" s="32">
        <v>18</v>
      </c>
    </row>
    <row r="15" spans="1:15" x14ac:dyDescent="0.3">
      <c r="E15" s="10" t="s">
        <v>31</v>
      </c>
      <c r="F15" s="32">
        <v>34</v>
      </c>
      <c r="J15" s="9" t="s">
        <v>66</v>
      </c>
      <c r="K15" t="s">
        <v>68</v>
      </c>
      <c r="N15" s="11">
        <v>46307</v>
      </c>
      <c r="O15" s="32">
        <v>15</v>
      </c>
    </row>
    <row r="16" spans="1:15" x14ac:dyDescent="0.3">
      <c r="E16" s="10" t="s">
        <v>50</v>
      </c>
      <c r="F16" s="32">
        <v>107</v>
      </c>
      <c r="J16" s="10" t="s">
        <v>51</v>
      </c>
      <c r="K16" s="32">
        <v>115</v>
      </c>
      <c r="N16" s="11">
        <v>46308</v>
      </c>
      <c r="O16" s="32">
        <v>15</v>
      </c>
    </row>
    <row r="17" spans="5:15" x14ac:dyDescent="0.3">
      <c r="E17" s="10" t="s">
        <v>45</v>
      </c>
      <c r="F17" s="32">
        <v>118</v>
      </c>
      <c r="J17" s="10" t="s">
        <v>28</v>
      </c>
      <c r="K17" s="32">
        <v>89</v>
      </c>
      <c r="N17" s="11">
        <v>46309</v>
      </c>
      <c r="O17" s="32">
        <v>21</v>
      </c>
    </row>
    <row r="18" spans="5:15" x14ac:dyDescent="0.3">
      <c r="E18" s="10" t="s">
        <v>18</v>
      </c>
      <c r="F18" s="32">
        <v>241</v>
      </c>
      <c r="J18" s="10" t="s">
        <v>57</v>
      </c>
      <c r="K18" s="32">
        <v>120</v>
      </c>
      <c r="N18" s="11">
        <v>46310</v>
      </c>
      <c r="O18" s="32">
        <v>15</v>
      </c>
    </row>
    <row r="19" spans="5:15" x14ac:dyDescent="0.3">
      <c r="E19" s="10" t="s">
        <v>67</v>
      </c>
      <c r="F19" s="32">
        <v>500</v>
      </c>
      <c r="J19" s="10" t="s">
        <v>23</v>
      </c>
      <c r="K19" s="32">
        <v>176</v>
      </c>
      <c r="N19" s="11">
        <v>46311</v>
      </c>
      <c r="O19" s="32">
        <v>15</v>
      </c>
    </row>
    <row r="20" spans="5:15" x14ac:dyDescent="0.3">
      <c r="J20" s="10" t="s">
        <v>67</v>
      </c>
      <c r="K20" s="32">
        <v>500</v>
      </c>
      <c r="N20" s="11">
        <v>46312</v>
      </c>
      <c r="O20" s="32">
        <v>17</v>
      </c>
    </row>
    <row r="21" spans="5:15" x14ac:dyDescent="0.3">
      <c r="N21" s="11">
        <v>46313</v>
      </c>
      <c r="O21" s="32">
        <v>15</v>
      </c>
    </row>
    <row r="22" spans="5:15" x14ac:dyDescent="0.3">
      <c r="N22" s="11">
        <v>46314</v>
      </c>
      <c r="O22" s="32">
        <v>18</v>
      </c>
    </row>
    <row r="23" spans="5:15" x14ac:dyDescent="0.3">
      <c r="N23" s="11">
        <v>46315</v>
      </c>
      <c r="O23" s="32">
        <v>13</v>
      </c>
    </row>
    <row r="24" spans="5:15" x14ac:dyDescent="0.3">
      <c r="N24" s="11">
        <v>46316</v>
      </c>
      <c r="O24" s="32">
        <v>26</v>
      </c>
    </row>
    <row r="25" spans="5:15" x14ac:dyDescent="0.3">
      <c r="N25" s="11">
        <v>46317</v>
      </c>
      <c r="O25" s="32">
        <v>19</v>
      </c>
    </row>
    <row r="26" spans="5:15" x14ac:dyDescent="0.3">
      <c r="N26" s="11">
        <v>46318</v>
      </c>
      <c r="O26" s="32">
        <v>13</v>
      </c>
    </row>
    <row r="27" spans="5:15" x14ac:dyDescent="0.3">
      <c r="N27" s="11">
        <v>46319</v>
      </c>
      <c r="O27" s="32">
        <v>20</v>
      </c>
    </row>
    <row r="28" spans="5:15" x14ac:dyDescent="0.3">
      <c r="N28" s="11">
        <v>46320</v>
      </c>
      <c r="O28" s="32">
        <v>15</v>
      </c>
    </row>
    <row r="29" spans="5:15" x14ac:dyDescent="0.3">
      <c r="N29" s="11">
        <v>46321</v>
      </c>
      <c r="O29" s="32">
        <v>19</v>
      </c>
    </row>
    <row r="30" spans="5:15" x14ac:dyDescent="0.3">
      <c r="N30" s="11">
        <v>46322</v>
      </c>
      <c r="O30" s="32">
        <v>13</v>
      </c>
    </row>
    <row r="31" spans="5:15" x14ac:dyDescent="0.3">
      <c r="N31" s="11">
        <v>46323</v>
      </c>
      <c r="O31" s="32">
        <v>17</v>
      </c>
    </row>
    <row r="32" spans="5:15" x14ac:dyDescent="0.3">
      <c r="N32" s="11">
        <v>46324</v>
      </c>
      <c r="O32" s="32">
        <v>13</v>
      </c>
    </row>
    <row r="33" spans="14:15" x14ac:dyDescent="0.3">
      <c r="N33" s="11">
        <v>46325</v>
      </c>
      <c r="O33" s="32">
        <v>24</v>
      </c>
    </row>
    <row r="34" spans="14:15" x14ac:dyDescent="0.3">
      <c r="N34" s="11" t="s">
        <v>67</v>
      </c>
      <c r="O34" s="32">
        <v>500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AF7A1-F74B-4EC4-8FAD-90D4A82C86D0}">
  <sheetPr>
    <pageSetUpPr autoPageBreaks="0"/>
  </sheetPr>
  <dimension ref="E4:FF169"/>
  <sheetViews>
    <sheetView showGridLines="0" showRowColHeaders="0" tabSelected="1" zoomScale="10" zoomScaleNormal="10" workbookViewId="0">
      <selection activeCell="CD235" sqref="CD235"/>
    </sheetView>
  </sheetViews>
  <sheetFormatPr defaultRowHeight="14.4" x14ac:dyDescent="0.3"/>
  <cols>
    <col min="1" max="6" width="8.88671875" style="12"/>
    <col min="7" max="7" width="25.109375" style="12" bestFit="1" customWidth="1"/>
    <col min="8" max="8" width="26.109375" style="12" bestFit="1" customWidth="1"/>
    <col min="9" max="98" width="8.88671875" style="12"/>
    <col min="99" max="99" width="10.33203125" style="12" bestFit="1" customWidth="1"/>
    <col min="100" max="16384" width="8.88671875" style="12"/>
  </cols>
  <sheetData>
    <row r="4" spans="5:81" x14ac:dyDescent="0.3">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c r="AV4" s="27"/>
      <c r="AW4" s="27"/>
      <c r="AX4" s="27"/>
      <c r="AY4" s="27"/>
      <c r="AZ4" s="27"/>
      <c r="BA4" s="27"/>
      <c r="BB4" s="27"/>
      <c r="BC4" s="27"/>
      <c r="BD4" s="27"/>
      <c r="BE4" s="27"/>
      <c r="BF4" s="27"/>
      <c r="BG4" s="27"/>
      <c r="BH4" s="27"/>
      <c r="BI4" s="27"/>
      <c r="BJ4" s="27"/>
      <c r="BK4" s="27"/>
      <c r="BL4" s="27"/>
      <c r="BM4" s="27"/>
      <c r="BN4" s="27"/>
      <c r="BO4" s="27"/>
      <c r="BP4" s="27"/>
      <c r="BQ4" s="27"/>
      <c r="BR4" s="27"/>
      <c r="BS4" s="27"/>
      <c r="BT4" s="27"/>
      <c r="BU4" s="27"/>
      <c r="BV4" s="27"/>
      <c r="BW4" s="27"/>
      <c r="BX4" s="27"/>
      <c r="BY4" s="27"/>
      <c r="BZ4" s="27"/>
      <c r="CA4" s="27"/>
      <c r="CB4" s="27"/>
      <c r="CC4" s="27"/>
    </row>
    <row r="5" spans="5:81" x14ac:dyDescent="0.3">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c r="AT5" s="27"/>
      <c r="AU5" s="27"/>
      <c r="AV5" s="27"/>
      <c r="AW5" s="27"/>
      <c r="AX5" s="27"/>
      <c r="AY5" s="27"/>
      <c r="AZ5" s="27"/>
      <c r="BA5" s="27"/>
      <c r="BB5" s="27"/>
      <c r="BC5" s="27"/>
      <c r="BD5" s="27"/>
      <c r="BE5" s="27"/>
      <c r="BF5" s="27"/>
      <c r="BG5" s="27"/>
      <c r="BH5" s="27"/>
      <c r="BI5" s="27"/>
      <c r="BJ5" s="27"/>
      <c r="BK5" s="27"/>
      <c r="BL5" s="27"/>
      <c r="BM5" s="27"/>
      <c r="BN5" s="27"/>
      <c r="BO5" s="27"/>
      <c r="BP5" s="27"/>
      <c r="BQ5" s="27"/>
      <c r="BR5" s="27"/>
      <c r="BS5" s="27"/>
      <c r="BT5" s="27"/>
      <c r="BU5" s="27"/>
      <c r="BV5" s="27"/>
      <c r="BW5" s="27"/>
      <c r="BX5" s="27"/>
      <c r="BY5" s="27"/>
      <c r="BZ5" s="27"/>
      <c r="CA5" s="27"/>
      <c r="CB5" s="27"/>
      <c r="CC5" s="27"/>
    </row>
    <row r="6" spans="5:81" x14ac:dyDescent="0.3">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c r="AT6" s="27"/>
      <c r="AU6" s="27"/>
      <c r="AV6" s="27"/>
      <c r="AW6" s="27"/>
      <c r="AX6" s="27"/>
      <c r="AY6" s="27"/>
      <c r="AZ6" s="27"/>
      <c r="BA6" s="27"/>
      <c r="BB6" s="27"/>
      <c r="BC6" s="27"/>
      <c r="BD6" s="27"/>
      <c r="BE6" s="27"/>
      <c r="BF6" s="27"/>
      <c r="BG6" s="27"/>
      <c r="BH6" s="27"/>
      <c r="BI6" s="27"/>
      <c r="BJ6" s="27"/>
      <c r="BK6" s="27"/>
      <c r="BL6" s="27"/>
      <c r="BM6" s="27"/>
      <c r="BN6" s="27"/>
      <c r="BO6" s="27"/>
      <c r="BP6" s="27"/>
      <c r="BQ6" s="27"/>
      <c r="BR6" s="27"/>
      <c r="BS6" s="27"/>
      <c r="BT6" s="27"/>
      <c r="BU6" s="27"/>
      <c r="BV6" s="27"/>
      <c r="BW6" s="27"/>
      <c r="BX6" s="27"/>
      <c r="BY6" s="27"/>
      <c r="BZ6" s="27"/>
      <c r="CA6" s="27"/>
      <c r="CB6" s="27"/>
      <c r="CC6" s="27"/>
    </row>
    <row r="7" spans="5:81" x14ac:dyDescent="0.3">
      <c r="E7" s="27"/>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c r="BA7" s="27"/>
      <c r="BB7" s="27"/>
      <c r="BC7" s="27"/>
      <c r="BD7" s="27"/>
      <c r="BE7" s="27"/>
      <c r="BF7" s="27"/>
      <c r="BG7" s="27"/>
      <c r="BH7" s="27"/>
      <c r="BI7" s="27"/>
      <c r="BJ7" s="27"/>
      <c r="BK7" s="27"/>
      <c r="BL7" s="27"/>
      <c r="BM7" s="27"/>
      <c r="BN7" s="27"/>
      <c r="BO7" s="27"/>
      <c r="BP7" s="27"/>
      <c r="BQ7" s="27"/>
      <c r="BR7" s="27"/>
      <c r="BS7" s="27"/>
      <c r="BT7" s="27"/>
      <c r="BU7" s="27"/>
      <c r="BV7" s="27"/>
      <c r="BW7" s="27"/>
      <c r="BX7" s="27"/>
      <c r="BY7" s="27"/>
      <c r="BZ7" s="27"/>
      <c r="CA7" s="27"/>
      <c r="CB7" s="27"/>
      <c r="CC7" s="27"/>
    </row>
    <row r="8" spans="5:81" x14ac:dyDescent="0.3">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c r="AT8" s="27"/>
      <c r="AU8" s="27"/>
      <c r="AV8" s="27"/>
      <c r="AW8" s="27"/>
      <c r="AX8" s="27"/>
      <c r="AY8" s="27"/>
      <c r="AZ8" s="27"/>
      <c r="BA8" s="27"/>
      <c r="BB8" s="27"/>
      <c r="BC8" s="27"/>
      <c r="BD8" s="27"/>
      <c r="BE8" s="27"/>
      <c r="BF8" s="27"/>
      <c r="BG8" s="27"/>
      <c r="BH8" s="27"/>
      <c r="BI8" s="27"/>
      <c r="BJ8" s="27"/>
      <c r="BK8" s="27"/>
      <c r="BL8" s="27"/>
      <c r="BM8" s="27"/>
      <c r="BN8" s="27"/>
      <c r="BO8" s="27"/>
      <c r="BP8" s="27"/>
      <c r="BQ8" s="27"/>
      <c r="BR8" s="27"/>
      <c r="BS8" s="27"/>
      <c r="BT8" s="27"/>
      <c r="BU8" s="27"/>
      <c r="BV8" s="27"/>
      <c r="BW8" s="27"/>
      <c r="BX8" s="27"/>
      <c r="BY8" s="27"/>
      <c r="BZ8" s="27"/>
      <c r="CA8" s="27"/>
      <c r="CB8" s="27"/>
      <c r="CC8" s="27"/>
    </row>
    <row r="9" spans="5:81" x14ac:dyDescent="0.3">
      <c r="E9" s="27"/>
      <c r="F9" s="27"/>
      <c r="G9" s="27"/>
      <c r="H9" s="27"/>
      <c r="I9" s="27"/>
      <c r="J9" s="27"/>
      <c r="K9" s="27"/>
      <c r="L9" s="27"/>
      <c r="M9" s="27"/>
      <c r="N9" s="27"/>
      <c r="O9" s="27"/>
      <c r="P9" s="27"/>
      <c r="Q9" s="27"/>
      <c r="R9" s="27"/>
      <c r="S9" s="27"/>
      <c r="T9" s="27"/>
      <c r="U9" s="27"/>
      <c r="V9" s="27"/>
      <c r="W9" s="27"/>
      <c r="X9" s="27"/>
      <c r="Y9" s="27"/>
      <c r="Z9" s="27"/>
      <c r="AA9" s="27"/>
      <c r="AB9" s="27"/>
      <c r="AC9" s="27"/>
      <c r="AD9" s="27"/>
      <c r="AE9" s="27"/>
      <c r="AF9" s="27"/>
      <c r="AG9" s="27"/>
      <c r="AH9" s="27"/>
      <c r="AI9" s="27"/>
      <c r="AJ9" s="27"/>
      <c r="AK9" s="27"/>
      <c r="AL9" s="27"/>
      <c r="AM9" s="27"/>
      <c r="AN9" s="27"/>
      <c r="AO9" s="27"/>
      <c r="AP9" s="27"/>
      <c r="AQ9" s="27"/>
      <c r="AR9" s="27"/>
      <c r="AS9" s="27"/>
      <c r="AT9" s="27"/>
      <c r="AU9" s="27"/>
      <c r="AV9" s="27"/>
      <c r="AW9" s="27"/>
      <c r="AX9" s="27"/>
      <c r="AY9" s="27"/>
      <c r="AZ9" s="27"/>
      <c r="BA9" s="27"/>
      <c r="BB9" s="27"/>
      <c r="BC9" s="27"/>
      <c r="BD9" s="27"/>
      <c r="BE9" s="27"/>
      <c r="BF9" s="27"/>
      <c r="BG9" s="27"/>
      <c r="BH9" s="27"/>
      <c r="BI9" s="27"/>
      <c r="BJ9" s="27"/>
      <c r="BK9" s="27"/>
      <c r="BL9" s="27"/>
      <c r="BM9" s="27"/>
      <c r="BN9" s="27"/>
      <c r="BO9" s="27"/>
      <c r="BP9" s="27"/>
      <c r="BQ9" s="27"/>
      <c r="BR9" s="27"/>
      <c r="BS9" s="27"/>
      <c r="BT9" s="27"/>
      <c r="BU9" s="27"/>
      <c r="BV9" s="27"/>
      <c r="BW9" s="27"/>
      <c r="BX9" s="27"/>
      <c r="BY9" s="27"/>
      <c r="BZ9" s="27"/>
      <c r="CA9" s="27"/>
      <c r="CB9" s="27"/>
      <c r="CC9" s="27"/>
    </row>
    <row r="10" spans="5:81" x14ac:dyDescent="0.3">
      <c r="E10" s="27"/>
      <c r="F10" s="27"/>
      <c r="G10" s="27"/>
      <c r="H10" s="27"/>
      <c r="I10" s="27"/>
      <c r="J10" s="27"/>
      <c r="K10" s="27"/>
      <c r="L10" s="27"/>
      <c r="M10" s="27"/>
      <c r="N10" s="27"/>
      <c r="O10" s="27"/>
      <c r="P10" s="27"/>
      <c r="Q10" s="27"/>
      <c r="R10" s="27"/>
      <c r="S10" s="27"/>
      <c r="T10" s="27"/>
      <c r="U10" s="27"/>
      <c r="V10" s="27"/>
      <c r="W10" s="27"/>
      <c r="X10" s="27"/>
      <c r="Y10" s="27"/>
      <c r="Z10" s="27"/>
      <c r="AA10" s="27"/>
      <c r="AB10" s="27"/>
      <c r="AC10" s="27"/>
      <c r="AD10" s="27"/>
      <c r="AE10" s="27"/>
      <c r="AF10" s="27"/>
      <c r="AG10" s="27"/>
      <c r="AH10" s="27"/>
      <c r="AI10" s="27"/>
      <c r="AJ10" s="27"/>
      <c r="AK10" s="27"/>
      <c r="AL10" s="27"/>
      <c r="AM10" s="27"/>
      <c r="AN10" s="27"/>
      <c r="AO10" s="27"/>
      <c r="AP10" s="27"/>
      <c r="AQ10" s="27"/>
      <c r="AR10" s="27"/>
      <c r="AS10" s="27"/>
      <c r="AT10" s="27"/>
      <c r="AU10" s="27"/>
      <c r="AV10" s="27"/>
      <c r="AW10" s="27"/>
      <c r="AX10" s="27"/>
      <c r="AY10" s="27"/>
      <c r="AZ10" s="27"/>
      <c r="BA10" s="27"/>
      <c r="BB10" s="27"/>
      <c r="BC10" s="27"/>
      <c r="BD10" s="27"/>
      <c r="BE10" s="27"/>
      <c r="BF10" s="27"/>
      <c r="BG10" s="27"/>
      <c r="BH10" s="27"/>
      <c r="BI10" s="27"/>
      <c r="BJ10" s="27"/>
      <c r="BK10" s="27"/>
      <c r="BL10" s="27"/>
      <c r="BM10" s="27"/>
      <c r="BN10" s="27"/>
      <c r="BO10" s="27"/>
      <c r="BP10" s="27"/>
      <c r="BQ10" s="27"/>
      <c r="BR10" s="27"/>
      <c r="BS10" s="27"/>
      <c r="BT10" s="27"/>
      <c r="BU10" s="27"/>
      <c r="BV10" s="27"/>
      <c r="BW10" s="27"/>
      <c r="BX10" s="27"/>
      <c r="BY10" s="27"/>
      <c r="BZ10" s="27"/>
      <c r="CA10" s="27"/>
      <c r="CB10" s="27"/>
      <c r="CC10" s="27"/>
    </row>
    <row r="11" spans="5:81" x14ac:dyDescent="0.3">
      <c r="E11" s="27"/>
      <c r="F11" s="27"/>
      <c r="G11" s="27"/>
      <c r="H11" s="27"/>
      <c r="I11" s="27"/>
      <c r="J11" s="27"/>
      <c r="K11" s="27"/>
      <c r="L11" s="27"/>
      <c r="M11" s="27"/>
      <c r="N11" s="27"/>
      <c r="O11" s="27"/>
      <c r="P11" s="27"/>
      <c r="Q11" s="27"/>
      <c r="R11" s="27"/>
      <c r="S11" s="27"/>
      <c r="T11" s="27"/>
      <c r="U11" s="27"/>
      <c r="V11" s="27"/>
      <c r="W11" s="27"/>
      <c r="X11" s="27"/>
      <c r="Y11" s="27"/>
      <c r="Z11" s="27"/>
      <c r="AA11" s="27"/>
      <c r="AB11" s="27"/>
      <c r="AC11" s="27"/>
      <c r="AD11" s="27"/>
      <c r="AE11" s="27"/>
      <c r="AF11" s="27"/>
      <c r="AG11" s="27"/>
      <c r="AH11" s="27"/>
      <c r="AI11" s="27"/>
      <c r="AJ11" s="27"/>
      <c r="AK11" s="27"/>
      <c r="AL11" s="27"/>
      <c r="AM11" s="27"/>
      <c r="AN11" s="27"/>
      <c r="AO11" s="27"/>
      <c r="AP11" s="27"/>
      <c r="AQ11" s="27"/>
      <c r="AR11" s="27"/>
      <c r="AS11" s="27"/>
      <c r="AT11" s="27"/>
      <c r="AU11" s="27"/>
      <c r="AV11" s="27"/>
      <c r="AW11" s="27"/>
      <c r="AX11" s="27"/>
      <c r="AY11" s="27"/>
      <c r="AZ11" s="27"/>
      <c r="BA11" s="27"/>
      <c r="BB11" s="27"/>
      <c r="BC11" s="27"/>
      <c r="BD11" s="27"/>
      <c r="BE11" s="27"/>
      <c r="BF11" s="27"/>
      <c r="BG11" s="27"/>
      <c r="BH11" s="27"/>
      <c r="BI11" s="27"/>
      <c r="BJ11" s="27"/>
      <c r="BK11" s="27"/>
      <c r="BL11" s="27"/>
      <c r="BM11" s="27"/>
      <c r="BN11" s="27"/>
      <c r="BO11" s="27"/>
      <c r="BP11" s="27"/>
      <c r="BQ11" s="27"/>
      <c r="BR11" s="27"/>
      <c r="BS11" s="27"/>
      <c r="BT11" s="27"/>
      <c r="BU11" s="27"/>
      <c r="BV11" s="27"/>
      <c r="BW11" s="27"/>
      <c r="BX11" s="27"/>
      <c r="BY11" s="27"/>
      <c r="BZ11" s="27"/>
      <c r="CA11" s="27"/>
      <c r="CB11" s="27"/>
      <c r="CC11" s="27"/>
    </row>
    <row r="12" spans="5:81" x14ac:dyDescent="0.3">
      <c r="E12" s="27"/>
      <c r="F12" s="27"/>
      <c r="G12" s="27"/>
      <c r="H12" s="27"/>
      <c r="I12" s="27"/>
      <c r="J12" s="27"/>
      <c r="K12" s="27"/>
      <c r="L12" s="27"/>
      <c r="M12" s="27"/>
      <c r="N12" s="27"/>
      <c r="O12" s="27"/>
      <c r="P12" s="27"/>
      <c r="Q12" s="27"/>
      <c r="R12" s="27"/>
      <c r="S12" s="27"/>
      <c r="T12" s="27"/>
      <c r="U12" s="27"/>
      <c r="V12" s="27"/>
      <c r="W12" s="27"/>
      <c r="X12" s="27"/>
      <c r="Y12" s="27"/>
      <c r="Z12" s="27"/>
      <c r="AA12" s="27"/>
      <c r="AB12" s="27"/>
      <c r="AC12" s="27"/>
      <c r="AD12" s="27"/>
      <c r="AE12" s="27"/>
      <c r="AF12" s="27"/>
      <c r="AG12" s="27"/>
      <c r="AH12" s="27"/>
      <c r="AI12" s="27"/>
      <c r="AJ12" s="27"/>
      <c r="AK12" s="27"/>
      <c r="AL12" s="27"/>
      <c r="AM12" s="27"/>
      <c r="AN12" s="27"/>
      <c r="AO12" s="27"/>
      <c r="AP12" s="27"/>
      <c r="AQ12" s="27"/>
      <c r="AR12" s="27"/>
      <c r="AS12" s="27"/>
      <c r="AT12" s="27"/>
      <c r="AU12" s="27"/>
      <c r="AV12" s="27"/>
      <c r="AW12" s="27"/>
      <c r="AX12" s="27"/>
      <c r="AY12" s="27"/>
      <c r="AZ12" s="27"/>
      <c r="BA12" s="27"/>
      <c r="BB12" s="27"/>
      <c r="BC12" s="27"/>
      <c r="BD12" s="27"/>
      <c r="BE12" s="27"/>
      <c r="BF12" s="27"/>
      <c r="BG12" s="27"/>
      <c r="BH12" s="27"/>
      <c r="BI12" s="27"/>
      <c r="BJ12" s="27"/>
      <c r="BK12" s="27"/>
      <c r="BL12" s="27"/>
      <c r="BM12" s="27"/>
      <c r="BN12" s="27"/>
      <c r="BO12" s="27"/>
      <c r="BP12" s="27"/>
      <c r="BQ12" s="27"/>
      <c r="BR12" s="27"/>
      <c r="BS12" s="27"/>
      <c r="BT12" s="27"/>
      <c r="BU12" s="27"/>
      <c r="BV12" s="27"/>
      <c r="BW12" s="27"/>
      <c r="BX12" s="27"/>
      <c r="BY12" s="27"/>
      <c r="BZ12" s="27"/>
      <c r="CA12" s="27"/>
      <c r="CB12" s="27"/>
      <c r="CC12" s="27"/>
    </row>
    <row r="13" spans="5:81" x14ac:dyDescent="0.3">
      <c r="E13" s="27"/>
      <c r="F13" s="27"/>
      <c r="G13" s="27"/>
      <c r="H13" s="27"/>
      <c r="I13" s="27"/>
      <c r="J13" s="27"/>
      <c r="K13" s="27"/>
      <c r="L13" s="27"/>
      <c r="M13" s="27"/>
      <c r="N13" s="27"/>
      <c r="O13" s="27"/>
      <c r="P13" s="27"/>
      <c r="Q13" s="27"/>
      <c r="R13" s="27"/>
      <c r="S13" s="27"/>
      <c r="T13" s="27"/>
      <c r="U13" s="27"/>
      <c r="V13" s="27"/>
      <c r="W13" s="27"/>
      <c r="X13" s="27"/>
      <c r="Y13" s="27"/>
      <c r="Z13" s="27"/>
      <c r="AA13" s="27"/>
      <c r="AB13" s="27"/>
      <c r="AC13" s="27"/>
      <c r="AD13" s="27"/>
      <c r="AE13" s="27"/>
      <c r="AF13" s="27"/>
      <c r="AG13" s="27"/>
      <c r="AH13" s="27"/>
      <c r="AI13" s="27"/>
      <c r="AJ13" s="27"/>
      <c r="AK13" s="27"/>
      <c r="AL13" s="27"/>
      <c r="AM13" s="27"/>
      <c r="AN13" s="27"/>
      <c r="AO13" s="27"/>
      <c r="AP13" s="27"/>
      <c r="AQ13" s="27"/>
      <c r="AR13" s="27"/>
      <c r="AS13" s="27"/>
      <c r="AT13" s="27"/>
      <c r="AU13" s="27"/>
      <c r="AV13" s="27"/>
      <c r="AW13" s="27"/>
      <c r="AX13" s="27"/>
      <c r="AY13" s="27"/>
      <c r="AZ13" s="27"/>
      <c r="BA13" s="27"/>
      <c r="BB13" s="27"/>
      <c r="BC13" s="27"/>
      <c r="BD13" s="27"/>
      <c r="BE13" s="27"/>
      <c r="BF13" s="27"/>
      <c r="BG13" s="27"/>
      <c r="BH13" s="27"/>
      <c r="BI13" s="27"/>
      <c r="BJ13" s="27"/>
      <c r="BK13" s="27"/>
      <c r="BL13" s="27"/>
      <c r="BM13" s="27"/>
      <c r="BN13" s="27"/>
      <c r="BO13" s="27"/>
      <c r="BP13" s="27"/>
      <c r="BQ13" s="27"/>
      <c r="BR13" s="27"/>
      <c r="BS13" s="27"/>
      <c r="BT13" s="27"/>
      <c r="BU13" s="27"/>
      <c r="BV13" s="27"/>
      <c r="BW13" s="27"/>
      <c r="BX13" s="27"/>
      <c r="BY13" s="27"/>
      <c r="BZ13" s="27"/>
      <c r="CA13" s="27"/>
      <c r="CB13" s="27"/>
      <c r="CC13" s="27"/>
    </row>
    <row r="14" spans="5:81" x14ac:dyDescent="0.3">
      <c r="E14" s="27"/>
      <c r="F14" s="27"/>
      <c r="G14" s="27"/>
      <c r="H14" s="27"/>
      <c r="I14" s="27"/>
      <c r="J14" s="27"/>
      <c r="K14" s="27"/>
      <c r="L14" s="27"/>
      <c r="M14" s="27"/>
      <c r="N14" s="27"/>
      <c r="O14" s="27"/>
      <c r="P14" s="27"/>
      <c r="Q14" s="27"/>
      <c r="R14" s="27"/>
      <c r="S14" s="27"/>
      <c r="T14" s="27"/>
      <c r="U14" s="27"/>
      <c r="V14" s="27"/>
      <c r="W14" s="27"/>
      <c r="X14" s="27"/>
      <c r="Y14" s="27"/>
      <c r="Z14" s="27"/>
      <c r="AA14" s="27"/>
      <c r="AB14" s="27"/>
      <c r="AC14" s="27"/>
      <c r="AD14" s="27"/>
      <c r="AE14" s="27"/>
      <c r="AF14" s="27"/>
      <c r="AG14" s="27"/>
      <c r="AH14" s="27"/>
      <c r="AI14" s="27"/>
      <c r="AJ14" s="27"/>
      <c r="AK14" s="27"/>
      <c r="AL14" s="27"/>
      <c r="AM14" s="27"/>
      <c r="AN14" s="27"/>
      <c r="AO14" s="27"/>
      <c r="AP14" s="27"/>
      <c r="AQ14" s="27"/>
      <c r="AR14" s="27"/>
      <c r="AS14" s="27"/>
      <c r="AT14" s="27"/>
      <c r="AU14" s="27"/>
      <c r="AV14" s="27"/>
      <c r="AW14" s="27"/>
      <c r="AX14" s="27"/>
      <c r="AY14" s="27"/>
      <c r="AZ14" s="27"/>
      <c r="BA14" s="27"/>
      <c r="BB14" s="27"/>
      <c r="BC14" s="27"/>
      <c r="BD14" s="27"/>
      <c r="BE14" s="27"/>
      <c r="BF14" s="27"/>
      <c r="BG14" s="27"/>
      <c r="BH14" s="27"/>
      <c r="BI14" s="27"/>
      <c r="BJ14" s="27"/>
      <c r="BK14" s="27"/>
      <c r="BL14" s="27"/>
      <c r="BM14" s="27"/>
      <c r="BN14" s="27"/>
      <c r="BO14" s="27"/>
      <c r="BP14" s="27"/>
      <c r="BQ14" s="27"/>
      <c r="BR14" s="27"/>
      <c r="BS14" s="27"/>
      <c r="BT14" s="27"/>
      <c r="BU14" s="27"/>
      <c r="BV14" s="27"/>
      <c r="BW14" s="27"/>
      <c r="BX14" s="27"/>
      <c r="BY14" s="27"/>
      <c r="BZ14" s="27"/>
      <c r="CA14" s="27"/>
      <c r="CB14" s="27"/>
      <c r="CC14" s="27"/>
    </row>
    <row r="15" spans="5:81" x14ac:dyDescent="0.3">
      <c r="E15" s="27"/>
      <c r="F15" s="27"/>
      <c r="G15" s="27"/>
      <c r="H15" s="27"/>
      <c r="I15" s="27"/>
      <c r="J15" s="27"/>
      <c r="K15" s="27"/>
      <c r="L15" s="27"/>
      <c r="M15" s="27"/>
      <c r="N15" s="27"/>
      <c r="O15" s="27"/>
      <c r="P15" s="27"/>
      <c r="Q15" s="27"/>
      <c r="R15" s="27"/>
      <c r="S15" s="27"/>
      <c r="T15" s="27"/>
      <c r="U15" s="27"/>
      <c r="V15" s="27"/>
      <c r="W15" s="27"/>
      <c r="X15" s="27"/>
      <c r="Y15" s="27"/>
      <c r="Z15" s="27"/>
      <c r="AA15" s="27"/>
      <c r="AB15" s="27"/>
      <c r="AC15" s="27"/>
      <c r="AD15" s="27"/>
      <c r="AE15" s="27"/>
      <c r="AF15" s="27"/>
      <c r="AG15" s="27"/>
      <c r="AH15" s="27"/>
      <c r="AI15" s="27"/>
      <c r="AJ15" s="27"/>
      <c r="AK15" s="27"/>
      <c r="AL15" s="27"/>
      <c r="AM15" s="27"/>
      <c r="AN15" s="27"/>
      <c r="AO15" s="27"/>
      <c r="AP15" s="27"/>
      <c r="AQ15" s="27"/>
      <c r="AR15" s="27"/>
      <c r="AS15" s="27"/>
      <c r="AT15" s="27"/>
      <c r="AU15" s="27"/>
      <c r="AV15" s="27"/>
      <c r="AW15" s="27"/>
      <c r="AX15" s="27"/>
      <c r="AY15" s="27"/>
      <c r="AZ15" s="27"/>
      <c r="BA15" s="27"/>
      <c r="BB15" s="27"/>
      <c r="BC15" s="27"/>
      <c r="BD15" s="27"/>
      <c r="BE15" s="27"/>
      <c r="BF15" s="27"/>
      <c r="BG15" s="27"/>
      <c r="BH15" s="27"/>
      <c r="BI15" s="27"/>
      <c r="BJ15" s="27"/>
      <c r="BK15" s="27"/>
      <c r="BL15" s="27"/>
      <c r="BM15" s="27"/>
      <c r="BN15" s="27"/>
      <c r="BO15" s="27"/>
      <c r="BP15" s="27"/>
      <c r="BQ15" s="27"/>
      <c r="BR15" s="27"/>
      <c r="BS15" s="27"/>
      <c r="BT15" s="27"/>
      <c r="BU15" s="27"/>
      <c r="BV15" s="27"/>
      <c r="BW15" s="27"/>
      <c r="BX15" s="27"/>
      <c r="BY15" s="27"/>
      <c r="BZ15" s="27"/>
      <c r="CA15" s="27"/>
      <c r="CB15" s="27"/>
      <c r="CC15" s="27"/>
    </row>
    <row r="16" spans="5:81" x14ac:dyDescent="0.3">
      <c r="E16" s="27"/>
      <c r="F16" s="27"/>
      <c r="G16" s="27"/>
      <c r="H16" s="27"/>
      <c r="I16" s="27"/>
      <c r="J16" s="27"/>
      <c r="K16" s="27"/>
      <c r="L16" s="27"/>
      <c r="M16" s="27"/>
      <c r="N16" s="27"/>
      <c r="O16" s="27"/>
      <c r="P16" s="27"/>
      <c r="Q16" s="27"/>
      <c r="R16" s="27"/>
      <c r="S16" s="27"/>
      <c r="T16" s="27"/>
      <c r="U16" s="27"/>
      <c r="V16" s="27"/>
      <c r="W16" s="27"/>
      <c r="X16" s="27"/>
      <c r="Y16" s="27"/>
      <c r="Z16" s="27"/>
      <c r="AA16" s="27"/>
      <c r="AB16" s="27"/>
      <c r="AC16" s="27"/>
      <c r="AD16" s="27"/>
      <c r="AE16" s="27"/>
      <c r="AF16" s="27"/>
      <c r="AG16" s="27"/>
      <c r="AH16" s="27"/>
      <c r="AI16" s="27"/>
      <c r="AJ16" s="27"/>
      <c r="AK16" s="27"/>
      <c r="AL16" s="27"/>
      <c r="AM16" s="27"/>
      <c r="AN16" s="27"/>
      <c r="AO16" s="27"/>
      <c r="AP16" s="27"/>
      <c r="AQ16" s="27"/>
      <c r="AR16" s="27"/>
      <c r="AS16" s="27"/>
      <c r="AT16" s="27"/>
      <c r="AU16" s="27"/>
      <c r="AV16" s="27"/>
      <c r="AW16" s="27"/>
      <c r="AX16" s="27"/>
      <c r="AY16" s="27"/>
      <c r="AZ16" s="27"/>
      <c r="BA16" s="27"/>
      <c r="BB16" s="27"/>
      <c r="BC16" s="27"/>
      <c r="BD16" s="27"/>
      <c r="BE16" s="27"/>
      <c r="BF16" s="27"/>
      <c r="BG16" s="27"/>
      <c r="BH16" s="27"/>
      <c r="BI16" s="27"/>
      <c r="BJ16" s="27"/>
      <c r="BK16" s="27"/>
      <c r="BL16" s="27"/>
      <c r="BM16" s="27"/>
      <c r="BN16" s="27"/>
      <c r="BO16" s="27"/>
      <c r="BP16" s="27"/>
      <c r="BQ16" s="27"/>
      <c r="BR16" s="27"/>
      <c r="BS16" s="27"/>
      <c r="BT16" s="27"/>
      <c r="BU16" s="27"/>
      <c r="BV16" s="27"/>
      <c r="BW16" s="27"/>
      <c r="BX16" s="27"/>
      <c r="BY16" s="27"/>
      <c r="BZ16" s="27"/>
      <c r="CA16" s="27"/>
      <c r="CB16" s="27"/>
      <c r="CC16" s="27"/>
    </row>
    <row r="17" spans="5:81" x14ac:dyDescent="0.3">
      <c r="E17" s="27"/>
      <c r="F17" s="27"/>
      <c r="G17" s="27"/>
      <c r="H17" s="27"/>
      <c r="I17" s="27"/>
      <c r="J17" s="27"/>
      <c r="K17" s="27"/>
      <c r="L17" s="27"/>
      <c r="M17" s="27"/>
      <c r="N17" s="27"/>
      <c r="O17" s="27"/>
      <c r="P17" s="27"/>
      <c r="Q17" s="27"/>
      <c r="R17" s="27"/>
      <c r="S17" s="27"/>
      <c r="T17" s="27"/>
      <c r="U17" s="27"/>
      <c r="V17" s="27"/>
      <c r="W17" s="27"/>
      <c r="X17" s="27"/>
      <c r="Y17" s="27"/>
      <c r="Z17" s="27"/>
      <c r="AA17" s="27"/>
      <c r="AB17" s="27"/>
      <c r="AC17" s="27"/>
      <c r="AD17" s="27"/>
      <c r="AE17" s="27"/>
      <c r="AF17" s="27"/>
      <c r="AG17" s="27"/>
      <c r="AH17" s="27"/>
      <c r="AI17" s="27"/>
      <c r="AJ17" s="27"/>
      <c r="AK17" s="27"/>
      <c r="AL17" s="27"/>
      <c r="AM17" s="27"/>
      <c r="AN17" s="27"/>
      <c r="AO17" s="27"/>
      <c r="AP17" s="27"/>
      <c r="AQ17" s="27"/>
      <c r="AR17" s="27"/>
      <c r="AS17" s="27"/>
      <c r="AT17" s="27"/>
      <c r="AU17" s="27"/>
      <c r="AV17" s="27"/>
      <c r="AW17" s="27"/>
      <c r="AX17" s="27"/>
      <c r="AY17" s="27"/>
      <c r="AZ17" s="27"/>
      <c r="BA17" s="27"/>
      <c r="BB17" s="27"/>
      <c r="BC17" s="27"/>
      <c r="BD17" s="27"/>
      <c r="BE17" s="27"/>
      <c r="BF17" s="27"/>
      <c r="BG17" s="27"/>
      <c r="BH17" s="27"/>
      <c r="BI17" s="27"/>
      <c r="BJ17" s="27"/>
      <c r="BK17" s="27"/>
      <c r="BL17" s="27"/>
      <c r="BM17" s="27"/>
      <c r="BN17" s="27"/>
      <c r="BO17" s="27"/>
      <c r="BP17" s="27"/>
      <c r="BQ17" s="27"/>
      <c r="BR17" s="27"/>
      <c r="BS17" s="27"/>
      <c r="BT17" s="27"/>
      <c r="BU17" s="27"/>
      <c r="BV17" s="27"/>
      <c r="BW17" s="27"/>
      <c r="BX17" s="27"/>
      <c r="BY17" s="27"/>
      <c r="BZ17" s="27"/>
      <c r="CA17" s="27"/>
      <c r="CB17" s="27"/>
      <c r="CC17" s="27"/>
    </row>
    <row r="18" spans="5:81" x14ac:dyDescent="0.3">
      <c r="E18" s="27"/>
      <c r="F18" s="27"/>
      <c r="G18" s="27"/>
      <c r="H18" s="27"/>
      <c r="I18" s="27"/>
      <c r="J18" s="27"/>
      <c r="K18" s="27"/>
      <c r="L18" s="27"/>
      <c r="M18" s="27"/>
      <c r="N18" s="27"/>
      <c r="O18" s="27"/>
      <c r="P18" s="27"/>
      <c r="Q18" s="27"/>
      <c r="R18" s="27"/>
      <c r="S18" s="27"/>
      <c r="T18" s="27"/>
      <c r="U18" s="27"/>
      <c r="V18" s="27"/>
      <c r="W18" s="27"/>
      <c r="X18" s="27"/>
      <c r="Y18" s="27"/>
      <c r="Z18" s="27"/>
      <c r="AA18" s="27"/>
      <c r="AB18" s="27"/>
      <c r="AC18" s="27"/>
      <c r="AD18" s="27"/>
      <c r="AE18" s="27"/>
      <c r="AF18" s="27"/>
      <c r="AG18" s="27"/>
      <c r="AH18" s="27"/>
      <c r="AI18" s="27"/>
      <c r="AJ18" s="27"/>
      <c r="AK18" s="27"/>
      <c r="AL18" s="27"/>
      <c r="AM18" s="27"/>
      <c r="AN18" s="27"/>
      <c r="AO18" s="27"/>
      <c r="AP18" s="27"/>
      <c r="AQ18" s="27"/>
      <c r="AR18" s="27"/>
      <c r="AS18" s="27"/>
      <c r="AT18" s="27"/>
      <c r="AU18" s="27"/>
      <c r="AV18" s="27"/>
      <c r="AW18" s="27"/>
      <c r="AX18" s="27"/>
      <c r="AY18" s="27"/>
      <c r="AZ18" s="27"/>
      <c r="BA18" s="27"/>
      <c r="BB18" s="27"/>
      <c r="BC18" s="27"/>
      <c r="BD18" s="27"/>
      <c r="BE18" s="27"/>
      <c r="BF18" s="27"/>
      <c r="BG18" s="27"/>
      <c r="BH18" s="27"/>
      <c r="BI18" s="27"/>
      <c r="BJ18" s="27"/>
      <c r="BK18" s="27"/>
      <c r="BL18" s="27"/>
      <c r="BM18" s="27"/>
      <c r="BN18" s="27"/>
      <c r="BO18" s="27"/>
      <c r="BP18" s="27"/>
      <c r="BQ18" s="27"/>
      <c r="BR18" s="27"/>
      <c r="BS18" s="27"/>
      <c r="BT18" s="27"/>
      <c r="BU18" s="27"/>
      <c r="BV18" s="27"/>
      <c r="BW18" s="27"/>
      <c r="BX18" s="27"/>
      <c r="BY18" s="27"/>
      <c r="BZ18" s="27"/>
      <c r="CA18" s="27"/>
      <c r="CB18" s="27"/>
      <c r="CC18" s="27"/>
    </row>
    <row r="19" spans="5:81" x14ac:dyDescent="0.3">
      <c r="E19" s="27"/>
      <c r="F19" s="27"/>
      <c r="G19" s="27"/>
      <c r="H19" s="27"/>
      <c r="I19" s="27"/>
      <c r="J19" s="27"/>
      <c r="K19" s="27"/>
      <c r="L19" s="27"/>
      <c r="M19" s="27"/>
      <c r="N19" s="27"/>
      <c r="O19" s="27"/>
      <c r="P19" s="27"/>
      <c r="Q19" s="27"/>
      <c r="R19" s="27"/>
      <c r="S19" s="27"/>
      <c r="T19" s="27"/>
      <c r="U19" s="27"/>
      <c r="V19" s="27"/>
      <c r="W19" s="27"/>
      <c r="X19" s="27"/>
      <c r="Y19" s="27"/>
      <c r="Z19" s="27"/>
      <c r="AA19" s="27"/>
      <c r="AB19" s="27"/>
      <c r="AC19" s="27"/>
      <c r="AD19" s="27"/>
      <c r="AE19" s="27"/>
      <c r="AF19" s="27"/>
      <c r="AG19" s="27"/>
      <c r="AH19" s="27"/>
      <c r="AI19" s="27"/>
      <c r="AJ19" s="27"/>
      <c r="AK19" s="27"/>
      <c r="AL19" s="27"/>
      <c r="AM19" s="27"/>
      <c r="AN19" s="27"/>
      <c r="AO19" s="27"/>
      <c r="AP19" s="27"/>
      <c r="AQ19" s="27"/>
      <c r="AR19" s="27"/>
      <c r="AS19" s="27"/>
      <c r="AT19" s="27"/>
      <c r="AU19" s="27"/>
      <c r="AV19" s="27"/>
      <c r="AW19" s="27"/>
      <c r="AX19" s="27"/>
      <c r="AY19" s="27"/>
      <c r="AZ19" s="27"/>
      <c r="BA19" s="27"/>
      <c r="BB19" s="27"/>
      <c r="BC19" s="27"/>
      <c r="BD19" s="27"/>
      <c r="BE19" s="27"/>
      <c r="BF19" s="27"/>
      <c r="BG19" s="27"/>
      <c r="BH19" s="27"/>
      <c r="BI19" s="27"/>
      <c r="BJ19" s="27"/>
      <c r="BK19" s="27"/>
      <c r="BL19" s="27"/>
      <c r="BM19" s="27"/>
      <c r="BN19" s="27"/>
      <c r="BO19" s="27"/>
      <c r="BP19" s="27"/>
      <c r="BQ19" s="27"/>
      <c r="BR19" s="27"/>
      <c r="BS19" s="27"/>
      <c r="BT19" s="27"/>
      <c r="BU19" s="27"/>
      <c r="BV19" s="27"/>
      <c r="BW19" s="27"/>
      <c r="BX19" s="27"/>
      <c r="BY19" s="27"/>
      <c r="BZ19" s="27"/>
      <c r="CA19" s="27"/>
      <c r="CB19" s="27"/>
      <c r="CC19" s="27"/>
    </row>
    <row r="20" spans="5:81" x14ac:dyDescent="0.3">
      <c r="E20" s="27"/>
      <c r="F20" s="27"/>
      <c r="G20" s="27"/>
      <c r="H20" s="27"/>
      <c r="I20" s="27"/>
      <c r="J20" s="27"/>
      <c r="K20" s="27"/>
      <c r="L20" s="27"/>
      <c r="M20" s="27"/>
      <c r="N20" s="27"/>
      <c r="O20" s="27"/>
      <c r="P20" s="27"/>
      <c r="Q20" s="27"/>
      <c r="R20" s="27"/>
      <c r="S20" s="27"/>
      <c r="T20" s="27"/>
      <c r="U20" s="27"/>
      <c r="V20" s="27"/>
      <c r="W20" s="27"/>
      <c r="X20" s="27"/>
      <c r="Y20" s="27"/>
      <c r="Z20" s="27"/>
      <c r="AA20" s="27"/>
      <c r="AB20" s="27"/>
      <c r="AC20" s="27"/>
      <c r="AD20" s="27"/>
      <c r="AE20" s="27"/>
      <c r="AF20" s="27"/>
      <c r="AG20" s="27"/>
      <c r="AH20" s="27"/>
      <c r="AI20" s="27"/>
      <c r="AJ20" s="27"/>
      <c r="AK20" s="27"/>
      <c r="AL20" s="27"/>
      <c r="AM20" s="27"/>
      <c r="AN20" s="27"/>
      <c r="AO20" s="27"/>
      <c r="AP20" s="27"/>
      <c r="AQ20" s="27"/>
      <c r="AR20" s="27"/>
      <c r="AS20" s="27"/>
      <c r="AT20" s="27"/>
      <c r="AU20" s="27"/>
      <c r="AV20" s="27"/>
      <c r="AW20" s="27"/>
      <c r="AX20" s="27"/>
      <c r="AY20" s="27"/>
      <c r="AZ20" s="27"/>
      <c r="BA20" s="27"/>
      <c r="BB20" s="27"/>
      <c r="BC20" s="27"/>
      <c r="BD20" s="27"/>
      <c r="BE20" s="27"/>
      <c r="BF20" s="27"/>
      <c r="BG20" s="27"/>
      <c r="BH20" s="27"/>
      <c r="BI20" s="27"/>
      <c r="BJ20" s="27"/>
      <c r="BK20" s="27"/>
      <c r="BL20" s="27"/>
      <c r="BM20" s="27"/>
      <c r="BN20" s="27"/>
      <c r="BO20" s="27"/>
      <c r="BP20" s="27"/>
      <c r="BQ20" s="27"/>
      <c r="BR20" s="27"/>
      <c r="BS20" s="27"/>
      <c r="BT20" s="27"/>
      <c r="BU20" s="27"/>
      <c r="BV20" s="27"/>
      <c r="BW20" s="27"/>
      <c r="BX20" s="27"/>
      <c r="BY20" s="27"/>
      <c r="BZ20" s="27"/>
      <c r="CA20" s="27"/>
      <c r="CB20" s="27"/>
      <c r="CC20" s="27"/>
    </row>
    <row r="21" spans="5:81" x14ac:dyDescent="0.3">
      <c r="E21" s="27"/>
      <c r="F21" s="27"/>
      <c r="G21" s="27"/>
      <c r="H21" s="27"/>
      <c r="I21" s="27"/>
      <c r="J21" s="27"/>
      <c r="K21" s="27"/>
      <c r="L21" s="27"/>
      <c r="M21" s="27"/>
      <c r="N21" s="27"/>
      <c r="O21" s="27"/>
      <c r="P21" s="27"/>
      <c r="Q21" s="27"/>
      <c r="R21" s="27"/>
      <c r="S21" s="27"/>
      <c r="T21" s="27"/>
      <c r="U21" s="27"/>
      <c r="V21" s="27"/>
      <c r="W21" s="27"/>
      <c r="X21" s="27"/>
      <c r="Y21" s="27"/>
      <c r="Z21" s="27"/>
      <c r="AA21" s="27"/>
      <c r="AB21" s="27"/>
      <c r="AC21" s="27"/>
      <c r="AD21" s="27"/>
      <c r="AE21" s="27"/>
      <c r="AF21" s="27"/>
      <c r="AG21" s="27"/>
      <c r="AH21" s="27"/>
      <c r="AI21" s="27"/>
      <c r="AJ21" s="27"/>
      <c r="AK21" s="27"/>
      <c r="AL21" s="27"/>
      <c r="AM21" s="27"/>
      <c r="AN21" s="27"/>
      <c r="AO21" s="27"/>
      <c r="AP21" s="27"/>
      <c r="AQ21" s="27"/>
      <c r="AR21" s="27"/>
      <c r="AS21" s="27"/>
      <c r="AT21" s="27"/>
      <c r="AU21" s="27"/>
      <c r="AV21" s="27"/>
      <c r="AW21" s="27"/>
      <c r="AX21" s="27"/>
      <c r="AY21" s="27"/>
      <c r="AZ21" s="27"/>
      <c r="BA21" s="27"/>
      <c r="BB21" s="27"/>
      <c r="BC21" s="27"/>
      <c r="BD21" s="27"/>
      <c r="BE21" s="27"/>
      <c r="BF21" s="27"/>
      <c r="BG21" s="27"/>
      <c r="BH21" s="27"/>
      <c r="BI21" s="27"/>
      <c r="BJ21" s="27"/>
      <c r="BK21" s="27"/>
      <c r="BL21" s="27"/>
      <c r="BM21" s="27"/>
      <c r="BN21" s="27"/>
      <c r="BO21" s="27"/>
      <c r="BP21" s="27"/>
      <c r="BQ21" s="27"/>
      <c r="BR21" s="27"/>
      <c r="BS21" s="27"/>
      <c r="BT21" s="27"/>
      <c r="BU21" s="27"/>
      <c r="BV21" s="27"/>
      <c r="BW21" s="27"/>
      <c r="BX21" s="27"/>
      <c r="BY21" s="27"/>
      <c r="BZ21" s="27"/>
      <c r="CA21" s="27"/>
      <c r="CB21" s="27"/>
      <c r="CC21" s="27"/>
    </row>
    <row r="22" spans="5:81" x14ac:dyDescent="0.3">
      <c r="E22" s="27"/>
      <c r="F22" s="27"/>
      <c r="G22" s="27"/>
      <c r="H22" s="27"/>
      <c r="I22" s="27"/>
      <c r="J22" s="27"/>
      <c r="K22" s="27"/>
      <c r="L22" s="27"/>
      <c r="M22" s="27"/>
      <c r="N22" s="27"/>
      <c r="O22" s="27"/>
      <c r="P22" s="27"/>
      <c r="Q22" s="27"/>
      <c r="R22" s="27"/>
      <c r="S22" s="27"/>
      <c r="T22" s="27"/>
      <c r="U22" s="27"/>
      <c r="V22" s="27"/>
      <c r="W22" s="27"/>
      <c r="X22" s="27"/>
      <c r="Y22" s="27"/>
      <c r="Z22" s="27"/>
      <c r="AA22" s="27"/>
      <c r="AB22" s="27"/>
      <c r="AC22" s="27"/>
      <c r="AD22" s="27"/>
      <c r="AE22" s="27"/>
      <c r="AF22" s="27"/>
      <c r="AG22" s="27"/>
      <c r="AH22" s="27"/>
      <c r="AI22" s="27"/>
      <c r="AJ22" s="27"/>
      <c r="AK22" s="27"/>
      <c r="AL22" s="27"/>
      <c r="AM22" s="27"/>
      <c r="AN22" s="27"/>
      <c r="AO22" s="27"/>
      <c r="AP22" s="27"/>
      <c r="AQ22" s="27"/>
      <c r="AR22" s="27"/>
      <c r="AS22" s="27"/>
      <c r="AT22" s="27"/>
      <c r="AU22" s="27"/>
      <c r="AV22" s="27"/>
      <c r="AW22" s="27"/>
      <c r="AX22" s="27"/>
      <c r="AY22" s="27"/>
      <c r="AZ22" s="27"/>
      <c r="BA22" s="27"/>
      <c r="BB22" s="27"/>
      <c r="BC22" s="27"/>
      <c r="BD22" s="27"/>
      <c r="BE22" s="27"/>
      <c r="BF22" s="27"/>
      <c r="BG22" s="27"/>
      <c r="BH22" s="27"/>
      <c r="BI22" s="27"/>
      <c r="BJ22" s="27"/>
      <c r="BK22" s="27"/>
      <c r="BL22" s="27"/>
      <c r="BM22" s="27"/>
      <c r="BN22" s="27"/>
      <c r="BO22" s="27"/>
      <c r="BP22" s="27"/>
      <c r="BQ22" s="27"/>
      <c r="BR22" s="27"/>
      <c r="BS22" s="27"/>
      <c r="BT22" s="27"/>
      <c r="BU22" s="27"/>
      <c r="BV22" s="27"/>
      <c r="BW22" s="27"/>
      <c r="BX22" s="27"/>
      <c r="BY22" s="27"/>
      <c r="BZ22" s="27"/>
      <c r="CA22" s="27"/>
      <c r="CB22" s="27"/>
      <c r="CC22" s="27"/>
    </row>
    <row r="23" spans="5:81" x14ac:dyDescent="0.3">
      <c r="E23" s="27"/>
      <c r="F23" s="27"/>
      <c r="G23" s="27"/>
      <c r="H23" s="27"/>
      <c r="I23" s="27"/>
      <c r="J23" s="27"/>
      <c r="K23" s="27"/>
      <c r="L23" s="27"/>
      <c r="M23" s="27"/>
      <c r="N23" s="27"/>
      <c r="O23" s="27"/>
      <c r="P23" s="27"/>
      <c r="Q23" s="27"/>
      <c r="R23" s="27"/>
      <c r="S23" s="27"/>
      <c r="T23" s="27"/>
      <c r="U23" s="27"/>
      <c r="V23" s="27"/>
      <c r="W23" s="27"/>
      <c r="X23" s="27"/>
      <c r="Y23" s="27"/>
      <c r="Z23" s="27"/>
      <c r="AA23" s="27"/>
      <c r="AB23" s="27"/>
      <c r="AC23" s="27"/>
      <c r="AD23" s="27"/>
      <c r="AE23" s="27"/>
      <c r="AF23" s="27"/>
      <c r="AG23" s="27"/>
      <c r="AH23" s="27"/>
      <c r="AI23" s="27"/>
      <c r="AJ23" s="27"/>
      <c r="AK23" s="27"/>
      <c r="AL23" s="27"/>
      <c r="AM23" s="27"/>
      <c r="AN23" s="27"/>
      <c r="AO23" s="27"/>
      <c r="AP23" s="27"/>
      <c r="AQ23" s="27"/>
      <c r="AR23" s="27"/>
      <c r="AS23" s="27"/>
      <c r="AT23" s="27"/>
      <c r="AU23" s="27"/>
      <c r="AV23" s="27"/>
      <c r="AW23" s="27"/>
      <c r="AX23" s="27"/>
      <c r="AY23" s="27"/>
      <c r="AZ23" s="27"/>
      <c r="BA23" s="27"/>
      <c r="BB23" s="27"/>
      <c r="BC23" s="27"/>
      <c r="BD23" s="27"/>
      <c r="BE23" s="27"/>
      <c r="BF23" s="27"/>
      <c r="BG23" s="27"/>
      <c r="BH23" s="27"/>
      <c r="BI23" s="27"/>
      <c r="BJ23" s="27"/>
      <c r="BK23" s="27"/>
      <c r="BL23" s="27"/>
      <c r="BM23" s="27"/>
      <c r="BN23" s="27"/>
      <c r="BO23" s="27"/>
      <c r="BP23" s="27"/>
      <c r="BQ23" s="27"/>
      <c r="BR23" s="27"/>
      <c r="BS23" s="27"/>
      <c r="BT23" s="27"/>
      <c r="BU23" s="27"/>
      <c r="BV23" s="27"/>
      <c r="BW23" s="27"/>
      <c r="BX23" s="27"/>
      <c r="BY23" s="27"/>
      <c r="BZ23" s="27"/>
      <c r="CA23" s="27"/>
      <c r="CB23" s="27"/>
      <c r="CC23" s="27"/>
    </row>
    <row r="24" spans="5:81" x14ac:dyDescent="0.3">
      <c r="E24" s="27"/>
      <c r="F24" s="27"/>
      <c r="G24" s="27"/>
      <c r="H24" s="27"/>
      <c r="I24" s="27"/>
      <c r="J24" s="27"/>
      <c r="K24" s="27"/>
      <c r="L24" s="27"/>
      <c r="M24" s="27"/>
      <c r="N24" s="27"/>
      <c r="O24" s="27"/>
      <c r="P24" s="27"/>
      <c r="Q24" s="27"/>
      <c r="R24" s="27"/>
      <c r="S24" s="27"/>
      <c r="T24" s="27"/>
      <c r="U24" s="27"/>
      <c r="V24" s="27"/>
      <c r="W24" s="27"/>
      <c r="X24" s="27"/>
      <c r="Y24" s="27"/>
      <c r="Z24" s="27"/>
      <c r="AA24" s="27"/>
      <c r="AB24" s="27"/>
      <c r="AC24" s="27"/>
      <c r="AD24" s="27"/>
      <c r="AE24" s="27"/>
      <c r="AF24" s="27"/>
      <c r="AG24" s="27"/>
      <c r="AH24" s="27"/>
      <c r="AI24" s="27"/>
      <c r="AJ24" s="27"/>
      <c r="AK24" s="27"/>
      <c r="AL24" s="27"/>
      <c r="AM24" s="27"/>
      <c r="AN24" s="27"/>
      <c r="AO24" s="27"/>
      <c r="AP24" s="27"/>
      <c r="AQ24" s="27"/>
      <c r="AR24" s="27"/>
      <c r="AS24" s="27"/>
      <c r="AT24" s="27"/>
      <c r="AU24" s="27"/>
      <c r="AV24" s="27"/>
      <c r="AW24" s="27"/>
      <c r="AX24" s="27"/>
      <c r="AY24" s="27"/>
      <c r="AZ24" s="27"/>
      <c r="BA24" s="27"/>
      <c r="BB24" s="27"/>
      <c r="BC24" s="27"/>
      <c r="BD24" s="27"/>
      <c r="BE24" s="27"/>
      <c r="BF24" s="27"/>
      <c r="BG24" s="27"/>
      <c r="BH24" s="27"/>
      <c r="BI24" s="27"/>
      <c r="BJ24" s="27"/>
      <c r="BK24" s="27"/>
      <c r="BL24" s="27"/>
      <c r="BM24" s="27"/>
      <c r="BN24" s="27"/>
      <c r="BO24" s="27"/>
      <c r="BP24" s="27"/>
      <c r="BQ24" s="27"/>
      <c r="BR24" s="27"/>
      <c r="BS24" s="27"/>
      <c r="BT24" s="27"/>
      <c r="BU24" s="27"/>
      <c r="BV24" s="27"/>
      <c r="BW24" s="27"/>
      <c r="BX24" s="27"/>
      <c r="BY24" s="27"/>
      <c r="BZ24" s="27"/>
      <c r="CA24" s="27"/>
      <c r="CB24" s="27"/>
      <c r="CC24" s="27"/>
    </row>
    <row r="25" spans="5:81" x14ac:dyDescent="0.3">
      <c r="E25" s="27"/>
      <c r="F25" s="27"/>
      <c r="G25" s="27"/>
      <c r="H25" s="27"/>
      <c r="I25" s="27"/>
      <c r="J25" s="27"/>
      <c r="K25" s="27"/>
      <c r="L25" s="27"/>
      <c r="M25" s="27"/>
      <c r="N25" s="27"/>
      <c r="O25" s="27"/>
      <c r="P25" s="27"/>
      <c r="Q25" s="27"/>
      <c r="R25" s="27"/>
      <c r="S25" s="27"/>
      <c r="T25" s="27"/>
      <c r="U25" s="27"/>
      <c r="V25" s="27"/>
      <c r="W25" s="27"/>
      <c r="X25" s="27"/>
      <c r="Y25" s="27"/>
      <c r="Z25" s="27"/>
      <c r="AA25" s="27"/>
      <c r="AB25" s="27"/>
      <c r="AC25" s="27"/>
      <c r="AD25" s="27"/>
      <c r="AE25" s="27"/>
      <c r="AF25" s="27"/>
      <c r="AG25" s="27"/>
      <c r="AH25" s="27"/>
      <c r="AI25" s="27"/>
      <c r="AJ25" s="27"/>
      <c r="AK25" s="27"/>
      <c r="AL25" s="27"/>
      <c r="AM25" s="27"/>
      <c r="AN25" s="27"/>
      <c r="AO25" s="27"/>
      <c r="AP25" s="27"/>
      <c r="AQ25" s="27"/>
      <c r="AR25" s="27"/>
      <c r="AS25" s="27"/>
      <c r="AT25" s="27"/>
      <c r="AU25" s="27"/>
      <c r="AV25" s="27"/>
      <c r="AW25" s="27"/>
      <c r="AX25" s="27"/>
      <c r="AY25" s="27"/>
      <c r="AZ25" s="27"/>
      <c r="BA25" s="27"/>
      <c r="BB25" s="27"/>
      <c r="BC25" s="27"/>
      <c r="BD25" s="27"/>
      <c r="BE25" s="27"/>
      <c r="BF25" s="27"/>
      <c r="BG25" s="27"/>
      <c r="BH25" s="27"/>
      <c r="BI25" s="27"/>
      <c r="BJ25" s="27"/>
      <c r="BK25" s="27"/>
      <c r="BL25" s="27"/>
      <c r="BM25" s="27"/>
      <c r="BN25" s="27"/>
      <c r="BO25" s="27"/>
      <c r="BP25" s="27"/>
      <c r="BQ25" s="27"/>
      <c r="BR25" s="27"/>
      <c r="BS25" s="27"/>
      <c r="BT25" s="27"/>
      <c r="BU25" s="27"/>
      <c r="BV25" s="27"/>
      <c r="BW25" s="27"/>
      <c r="BX25" s="27"/>
      <c r="BY25" s="27"/>
      <c r="BZ25" s="27"/>
      <c r="CA25" s="27"/>
      <c r="CB25" s="27"/>
      <c r="CC25" s="27"/>
    </row>
    <row r="26" spans="5:81" ht="14.4" customHeight="1" x14ac:dyDescent="1.65">
      <c r="E26" s="27"/>
      <c r="F26" s="27"/>
      <c r="G26" s="28">
        <f>COUNTA(CrimeTable[Timestamp])</f>
        <v>500</v>
      </c>
      <c r="H26" s="28"/>
      <c r="I26" s="28"/>
      <c r="J26" s="28"/>
      <c r="K26" s="28"/>
      <c r="L26" s="28"/>
      <c r="M26" s="28"/>
      <c r="N26" s="28"/>
      <c r="O26" s="28"/>
      <c r="P26" s="28"/>
      <c r="Q26" s="29"/>
      <c r="R26" s="29"/>
      <c r="S26" s="29"/>
      <c r="T26" s="29"/>
      <c r="U26" s="27"/>
      <c r="V26" s="27"/>
      <c r="W26" s="27"/>
      <c r="X26" s="27"/>
      <c r="Y26" s="27"/>
      <c r="Z26" s="27"/>
      <c r="AA26" s="27"/>
      <c r="AB26" s="27"/>
      <c r="AC26" s="27"/>
      <c r="AD26" s="27"/>
      <c r="AE26" s="27"/>
      <c r="AF26" s="27"/>
      <c r="AG26" s="27"/>
      <c r="AH26" s="27"/>
      <c r="AI26" s="27"/>
      <c r="AJ26" s="27"/>
      <c r="AK26" s="27"/>
      <c r="AL26" s="27"/>
      <c r="AM26" s="27"/>
      <c r="AN26" s="27"/>
      <c r="AO26" s="27"/>
      <c r="AP26" s="27"/>
      <c r="AQ26" s="27"/>
      <c r="AR26" s="27"/>
      <c r="AS26" s="27"/>
      <c r="AT26" s="27"/>
      <c r="AU26" s="27"/>
      <c r="AV26" s="27"/>
      <c r="AW26" s="27"/>
      <c r="AX26" s="27"/>
      <c r="AY26" s="27"/>
      <c r="AZ26" s="27"/>
      <c r="BA26" s="27"/>
      <c r="BB26" s="27"/>
      <c r="BC26" s="27"/>
      <c r="BD26" s="27"/>
      <c r="BE26" s="27"/>
      <c r="BF26" s="27"/>
      <c r="BG26" s="27"/>
      <c r="BH26" s="27"/>
      <c r="BI26" s="27"/>
      <c r="BJ26" s="27"/>
      <c r="BK26" s="27"/>
      <c r="BL26" s="27"/>
      <c r="BM26" s="27"/>
      <c r="BN26" s="27"/>
      <c r="BO26" s="27"/>
      <c r="BP26" s="27"/>
      <c r="BQ26" s="27"/>
      <c r="BR26" s="27"/>
      <c r="BS26" s="27"/>
      <c r="BT26" s="27"/>
      <c r="BU26" s="27"/>
      <c r="BV26" s="27"/>
      <c r="BW26" s="27"/>
      <c r="BX26" s="27"/>
      <c r="BY26" s="27"/>
      <c r="BZ26" s="27"/>
      <c r="CA26" s="27"/>
      <c r="CB26" s="27"/>
      <c r="CC26" s="27"/>
    </row>
    <row r="27" spans="5:81" ht="14.4" customHeight="1" x14ac:dyDescent="1.65">
      <c r="E27" s="27"/>
      <c r="F27" s="27"/>
      <c r="G27" s="28"/>
      <c r="H27" s="28"/>
      <c r="I27" s="28"/>
      <c r="J27" s="28"/>
      <c r="K27" s="28"/>
      <c r="L27" s="28"/>
      <c r="M27" s="28"/>
      <c r="N27" s="28"/>
      <c r="O27" s="28"/>
      <c r="P27" s="28"/>
      <c r="Q27" s="29"/>
      <c r="R27" s="29"/>
      <c r="S27" s="29"/>
      <c r="T27" s="29"/>
      <c r="U27" s="27"/>
      <c r="V27" s="27"/>
      <c r="W27" s="27"/>
      <c r="X27" s="27"/>
      <c r="Y27" s="27"/>
      <c r="Z27" s="27"/>
      <c r="AA27" s="27"/>
      <c r="AB27" s="27"/>
      <c r="AC27" s="27"/>
      <c r="AD27" s="27"/>
      <c r="AE27" s="27"/>
      <c r="AF27" s="27"/>
      <c r="AG27" s="27"/>
      <c r="AH27" s="27"/>
      <c r="AI27" s="27"/>
      <c r="AJ27" s="27"/>
      <c r="AK27" s="27"/>
      <c r="AL27" s="27"/>
      <c r="AM27" s="27"/>
      <c r="AN27" s="27"/>
      <c r="AO27" s="27"/>
      <c r="AP27" s="27"/>
      <c r="AQ27" s="27"/>
      <c r="AR27" s="27"/>
      <c r="AS27" s="27"/>
      <c r="AT27" s="27"/>
      <c r="AU27" s="27"/>
      <c r="AV27" s="27"/>
      <c r="AW27" s="27"/>
      <c r="AX27" s="27"/>
      <c r="AY27" s="27"/>
      <c r="AZ27" s="27"/>
      <c r="BA27" s="27"/>
      <c r="BB27" s="27"/>
      <c r="BC27" s="27"/>
      <c r="BD27" s="27"/>
      <c r="BE27" s="27"/>
      <c r="BF27" s="27"/>
      <c r="BG27" s="27"/>
      <c r="BH27" s="27"/>
      <c r="BI27" s="27"/>
      <c r="BJ27" s="27"/>
      <c r="BK27" s="27"/>
      <c r="BL27" s="27"/>
      <c r="BM27" s="27"/>
      <c r="BN27" s="27"/>
      <c r="BO27" s="27"/>
      <c r="BP27" s="27"/>
      <c r="BQ27" s="27"/>
      <c r="BR27" s="27"/>
      <c r="BS27" s="27"/>
      <c r="BT27" s="27"/>
      <c r="BU27" s="27"/>
      <c r="BV27" s="27"/>
      <c r="BW27" s="27"/>
      <c r="BX27" s="27"/>
      <c r="BY27" s="27"/>
      <c r="BZ27" s="27"/>
      <c r="CA27" s="27"/>
      <c r="CB27" s="27"/>
      <c r="CC27" s="27"/>
    </row>
    <row r="28" spans="5:81" x14ac:dyDescent="0.3">
      <c r="E28" s="27"/>
      <c r="F28" s="29"/>
      <c r="G28" s="31">
        <f>COUNTA(CrimeTable[Timestamp])</f>
        <v>500</v>
      </c>
      <c r="H28" s="31"/>
      <c r="I28" s="31"/>
      <c r="J28" s="31"/>
      <c r="K28" s="31"/>
      <c r="L28" s="31"/>
      <c r="M28" s="31"/>
      <c r="N28" s="31"/>
      <c r="O28" s="31"/>
      <c r="P28" s="31"/>
      <c r="Q28" s="29"/>
      <c r="R28" s="31">
        <f>COUNTIF(CrimeTable[Severity],"High")+COUNTIF(CrimeTable[Severity],"Critical")</f>
        <v>141</v>
      </c>
      <c r="S28" s="31"/>
      <c r="T28" s="31"/>
      <c r="U28" s="31"/>
      <c r="V28" s="31"/>
      <c r="W28" s="31"/>
      <c r="X28" s="31"/>
      <c r="Y28" s="31"/>
      <c r="Z28" s="31"/>
      <c r="AA28" s="31"/>
      <c r="AB28" s="31"/>
      <c r="AC28" s="29"/>
      <c r="AD28" s="31">
        <f>COUNTIF(CrimeTable[Case_Status],"Open")</f>
        <v>87</v>
      </c>
      <c r="AE28" s="31"/>
      <c r="AF28" s="31"/>
      <c r="AG28" s="31"/>
      <c r="AH28" s="31"/>
      <c r="AI28" s="31"/>
      <c r="AJ28" s="31"/>
      <c r="AK28" s="31"/>
      <c r="AL28" s="31"/>
      <c r="AM28" s="31"/>
      <c r="AN28" s="31"/>
      <c r="AO28" s="31"/>
      <c r="AP28" s="29"/>
      <c r="AQ28" s="31">
        <f>COUNTIF(CrimeTable[Case_Status],"Closed")</f>
        <v>187</v>
      </c>
      <c r="AR28" s="31"/>
      <c r="AS28" s="31"/>
      <c r="AT28" s="31"/>
      <c r="AU28" s="31"/>
      <c r="AV28" s="31"/>
      <c r="AW28" s="31"/>
      <c r="AX28" s="31"/>
      <c r="AY28" s="31"/>
      <c r="AZ28" s="31"/>
      <c r="BA28" s="31"/>
      <c r="BB28" s="31"/>
      <c r="BC28" s="31"/>
      <c r="BD28" s="29"/>
      <c r="BE28" s="31">
        <f>AVERAGE(CrimeTable[Victim_Age])</f>
        <v>47.41</v>
      </c>
      <c r="BF28" s="31"/>
      <c r="BG28" s="31"/>
      <c r="BH28" s="31"/>
      <c r="BI28" s="31"/>
      <c r="BJ28" s="31"/>
      <c r="BK28" s="31"/>
      <c r="BL28" s="31"/>
      <c r="BM28" s="31"/>
      <c r="BN28" s="31"/>
      <c r="BO28" s="31"/>
      <c r="BP28" s="31"/>
      <c r="BQ28" s="31"/>
      <c r="BR28" s="31"/>
      <c r="BS28" s="31"/>
      <c r="BT28" s="27"/>
      <c r="BU28" s="27"/>
      <c r="BV28" s="27"/>
      <c r="BW28" s="27"/>
      <c r="BX28" s="27"/>
      <c r="BY28" s="27"/>
      <c r="BZ28" s="27"/>
      <c r="CA28" s="27"/>
      <c r="CB28" s="27"/>
      <c r="CC28" s="27"/>
    </row>
    <row r="29" spans="5:81" ht="14.4" customHeight="1" x14ac:dyDescent="0.3">
      <c r="E29" s="27"/>
      <c r="F29" s="29"/>
      <c r="G29" s="31"/>
      <c r="H29" s="31"/>
      <c r="I29" s="31"/>
      <c r="J29" s="31"/>
      <c r="K29" s="31"/>
      <c r="L29" s="31"/>
      <c r="M29" s="31"/>
      <c r="N29" s="31"/>
      <c r="O29" s="31"/>
      <c r="P29" s="31"/>
      <c r="Q29" s="29"/>
      <c r="R29" s="31"/>
      <c r="S29" s="31"/>
      <c r="T29" s="31"/>
      <c r="U29" s="31"/>
      <c r="V29" s="31"/>
      <c r="W29" s="31"/>
      <c r="X29" s="31"/>
      <c r="Y29" s="31"/>
      <c r="Z29" s="31"/>
      <c r="AA29" s="31"/>
      <c r="AB29" s="31"/>
      <c r="AC29" s="29"/>
      <c r="AD29" s="31"/>
      <c r="AE29" s="31"/>
      <c r="AF29" s="31"/>
      <c r="AG29" s="31"/>
      <c r="AH29" s="31"/>
      <c r="AI29" s="31"/>
      <c r="AJ29" s="31"/>
      <c r="AK29" s="31"/>
      <c r="AL29" s="31"/>
      <c r="AM29" s="31"/>
      <c r="AN29" s="31"/>
      <c r="AO29" s="31"/>
      <c r="AP29" s="29"/>
      <c r="AQ29" s="31"/>
      <c r="AR29" s="31"/>
      <c r="AS29" s="31"/>
      <c r="AT29" s="31"/>
      <c r="AU29" s="31"/>
      <c r="AV29" s="31"/>
      <c r="AW29" s="31"/>
      <c r="AX29" s="31"/>
      <c r="AY29" s="31"/>
      <c r="AZ29" s="31"/>
      <c r="BA29" s="31"/>
      <c r="BB29" s="31"/>
      <c r="BC29" s="31"/>
      <c r="BD29" s="29"/>
      <c r="BE29" s="31"/>
      <c r="BF29" s="31"/>
      <c r="BG29" s="31"/>
      <c r="BH29" s="31"/>
      <c r="BI29" s="31"/>
      <c r="BJ29" s="31"/>
      <c r="BK29" s="31"/>
      <c r="BL29" s="31"/>
      <c r="BM29" s="31"/>
      <c r="BN29" s="31"/>
      <c r="BO29" s="31"/>
      <c r="BP29" s="31"/>
      <c r="BQ29" s="31"/>
      <c r="BR29" s="31"/>
      <c r="BS29" s="31"/>
      <c r="BT29" s="27"/>
      <c r="BU29" s="27"/>
      <c r="BV29" s="27"/>
      <c r="BW29" s="27"/>
      <c r="BX29" s="27"/>
      <c r="BY29" s="27"/>
      <c r="BZ29" s="27"/>
      <c r="CA29" s="27"/>
      <c r="CB29" s="27"/>
      <c r="CC29" s="27"/>
    </row>
    <row r="30" spans="5:81" ht="14.4" customHeight="1" x14ac:dyDescent="0.3">
      <c r="E30" s="27"/>
      <c r="F30" s="29"/>
      <c r="G30" s="31"/>
      <c r="H30" s="31"/>
      <c r="I30" s="31"/>
      <c r="J30" s="31"/>
      <c r="K30" s="31"/>
      <c r="L30" s="31"/>
      <c r="M30" s="31"/>
      <c r="N30" s="31"/>
      <c r="O30" s="31"/>
      <c r="P30" s="31"/>
      <c r="Q30" s="29"/>
      <c r="R30" s="31"/>
      <c r="S30" s="31"/>
      <c r="T30" s="31"/>
      <c r="U30" s="31"/>
      <c r="V30" s="31"/>
      <c r="W30" s="31"/>
      <c r="X30" s="31"/>
      <c r="Y30" s="31"/>
      <c r="Z30" s="31"/>
      <c r="AA30" s="31"/>
      <c r="AB30" s="31"/>
      <c r="AC30" s="29"/>
      <c r="AD30" s="31"/>
      <c r="AE30" s="31"/>
      <c r="AF30" s="31"/>
      <c r="AG30" s="31"/>
      <c r="AH30" s="31"/>
      <c r="AI30" s="31"/>
      <c r="AJ30" s="31"/>
      <c r="AK30" s="31"/>
      <c r="AL30" s="31"/>
      <c r="AM30" s="31"/>
      <c r="AN30" s="31"/>
      <c r="AO30" s="31"/>
      <c r="AP30" s="29"/>
      <c r="AQ30" s="31"/>
      <c r="AR30" s="31"/>
      <c r="AS30" s="31"/>
      <c r="AT30" s="31"/>
      <c r="AU30" s="31"/>
      <c r="AV30" s="31"/>
      <c r="AW30" s="31"/>
      <c r="AX30" s="31"/>
      <c r="AY30" s="31"/>
      <c r="AZ30" s="31"/>
      <c r="BA30" s="31"/>
      <c r="BB30" s="31"/>
      <c r="BC30" s="31"/>
      <c r="BD30" s="29"/>
      <c r="BE30" s="31"/>
      <c r="BF30" s="31"/>
      <c r="BG30" s="31"/>
      <c r="BH30" s="31"/>
      <c r="BI30" s="31"/>
      <c r="BJ30" s="31"/>
      <c r="BK30" s="31"/>
      <c r="BL30" s="31"/>
      <c r="BM30" s="31"/>
      <c r="BN30" s="31"/>
      <c r="BO30" s="31"/>
      <c r="BP30" s="31"/>
      <c r="BQ30" s="31"/>
      <c r="BR30" s="31"/>
      <c r="BS30" s="31"/>
      <c r="BT30" s="27"/>
      <c r="BU30" s="27"/>
      <c r="BV30" s="27"/>
      <c r="BW30" s="27"/>
      <c r="BX30" s="27"/>
      <c r="BY30" s="27"/>
      <c r="BZ30" s="27"/>
      <c r="CA30" s="27"/>
      <c r="CB30" s="27"/>
      <c r="CC30" s="27"/>
    </row>
    <row r="31" spans="5:81" ht="14.4" customHeight="1" x14ac:dyDescent="1.65">
      <c r="E31" s="27"/>
      <c r="F31" s="29"/>
      <c r="G31" s="31"/>
      <c r="H31" s="31"/>
      <c r="I31" s="31"/>
      <c r="J31" s="31"/>
      <c r="K31" s="31"/>
      <c r="L31" s="31"/>
      <c r="M31" s="31"/>
      <c r="N31" s="31"/>
      <c r="O31" s="31"/>
      <c r="P31" s="31"/>
      <c r="Q31" s="28"/>
      <c r="R31" s="31"/>
      <c r="S31" s="31"/>
      <c r="T31" s="31"/>
      <c r="U31" s="31"/>
      <c r="V31" s="31"/>
      <c r="W31" s="31"/>
      <c r="X31" s="31"/>
      <c r="Y31" s="31"/>
      <c r="Z31" s="31"/>
      <c r="AA31" s="31"/>
      <c r="AB31" s="31"/>
      <c r="AC31" s="29"/>
      <c r="AD31" s="31"/>
      <c r="AE31" s="31"/>
      <c r="AF31" s="31"/>
      <c r="AG31" s="31"/>
      <c r="AH31" s="31"/>
      <c r="AI31" s="31"/>
      <c r="AJ31" s="31"/>
      <c r="AK31" s="31"/>
      <c r="AL31" s="31"/>
      <c r="AM31" s="31"/>
      <c r="AN31" s="31"/>
      <c r="AO31" s="31"/>
      <c r="AP31" s="29"/>
      <c r="AQ31" s="31"/>
      <c r="AR31" s="31"/>
      <c r="AS31" s="31"/>
      <c r="AT31" s="31"/>
      <c r="AU31" s="31"/>
      <c r="AV31" s="31"/>
      <c r="AW31" s="31"/>
      <c r="AX31" s="31"/>
      <c r="AY31" s="31"/>
      <c r="AZ31" s="31"/>
      <c r="BA31" s="31"/>
      <c r="BB31" s="31"/>
      <c r="BC31" s="31"/>
      <c r="BD31" s="29"/>
      <c r="BE31" s="31"/>
      <c r="BF31" s="31"/>
      <c r="BG31" s="31"/>
      <c r="BH31" s="31"/>
      <c r="BI31" s="31"/>
      <c r="BJ31" s="31"/>
      <c r="BK31" s="31"/>
      <c r="BL31" s="31"/>
      <c r="BM31" s="31"/>
      <c r="BN31" s="31"/>
      <c r="BO31" s="31"/>
      <c r="BP31" s="31"/>
      <c r="BQ31" s="31"/>
      <c r="BR31" s="31"/>
      <c r="BS31" s="31"/>
      <c r="BT31" s="27"/>
      <c r="BU31" s="27"/>
      <c r="BV31" s="27"/>
      <c r="BW31" s="27"/>
      <c r="BX31" s="27"/>
      <c r="BY31" s="27"/>
      <c r="BZ31" s="27"/>
      <c r="CA31" s="27"/>
      <c r="CB31" s="27"/>
      <c r="CC31" s="27"/>
    </row>
    <row r="32" spans="5:81" ht="14.4" customHeight="1" x14ac:dyDescent="1.65">
      <c r="E32" s="27"/>
      <c r="F32" s="29"/>
      <c r="G32" s="31"/>
      <c r="H32" s="31"/>
      <c r="I32" s="31"/>
      <c r="J32" s="31"/>
      <c r="K32" s="31"/>
      <c r="L32" s="31"/>
      <c r="M32" s="31"/>
      <c r="N32" s="31"/>
      <c r="O32" s="31"/>
      <c r="P32" s="31"/>
      <c r="Q32" s="28"/>
      <c r="R32" s="31"/>
      <c r="S32" s="31"/>
      <c r="T32" s="31"/>
      <c r="U32" s="31"/>
      <c r="V32" s="31"/>
      <c r="W32" s="31"/>
      <c r="X32" s="31"/>
      <c r="Y32" s="31"/>
      <c r="Z32" s="31"/>
      <c r="AA32" s="31"/>
      <c r="AB32" s="31"/>
      <c r="AC32" s="29"/>
      <c r="AD32" s="31"/>
      <c r="AE32" s="31"/>
      <c r="AF32" s="31"/>
      <c r="AG32" s="31"/>
      <c r="AH32" s="31"/>
      <c r="AI32" s="31"/>
      <c r="AJ32" s="31"/>
      <c r="AK32" s="31"/>
      <c r="AL32" s="31"/>
      <c r="AM32" s="31"/>
      <c r="AN32" s="31"/>
      <c r="AO32" s="31"/>
      <c r="AP32" s="29"/>
      <c r="AQ32" s="31"/>
      <c r="AR32" s="31"/>
      <c r="AS32" s="31"/>
      <c r="AT32" s="31"/>
      <c r="AU32" s="31"/>
      <c r="AV32" s="31"/>
      <c r="AW32" s="31"/>
      <c r="AX32" s="31"/>
      <c r="AY32" s="31"/>
      <c r="AZ32" s="31"/>
      <c r="BA32" s="31"/>
      <c r="BB32" s="31"/>
      <c r="BC32" s="31"/>
      <c r="BD32" s="29"/>
      <c r="BE32" s="31"/>
      <c r="BF32" s="31"/>
      <c r="BG32" s="31"/>
      <c r="BH32" s="31"/>
      <c r="BI32" s="31"/>
      <c r="BJ32" s="31"/>
      <c r="BK32" s="31"/>
      <c r="BL32" s="31"/>
      <c r="BM32" s="31"/>
      <c r="BN32" s="31"/>
      <c r="BO32" s="31"/>
      <c r="BP32" s="31"/>
      <c r="BQ32" s="31"/>
      <c r="BR32" s="31"/>
      <c r="BS32" s="31"/>
      <c r="BT32" s="27"/>
      <c r="BU32" s="27"/>
      <c r="BV32" s="27"/>
      <c r="BW32" s="27"/>
      <c r="BX32" s="27"/>
      <c r="BY32" s="27"/>
      <c r="BZ32" s="27"/>
      <c r="CA32" s="27"/>
      <c r="CB32" s="27"/>
      <c r="CC32" s="27"/>
    </row>
    <row r="33" spans="5:110" ht="14.4" customHeight="1" x14ac:dyDescent="1.65">
      <c r="E33" s="27"/>
      <c r="F33" s="29"/>
      <c r="G33" s="31"/>
      <c r="H33" s="31"/>
      <c r="I33" s="31"/>
      <c r="J33" s="31"/>
      <c r="K33" s="31"/>
      <c r="L33" s="31"/>
      <c r="M33" s="31"/>
      <c r="N33" s="31"/>
      <c r="O33" s="31"/>
      <c r="P33" s="31"/>
      <c r="Q33" s="28"/>
      <c r="R33" s="31"/>
      <c r="S33" s="31"/>
      <c r="T33" s="31"/>
      <c r="U33" s="31"/>
      <c r="V33" s="31"/>
      <c r="W33" s="31"/>
      <c r="X33" s="31"/>
      <c r="Y33" s="31"/>
      <c r="Z33" s="31"/>
      <c r="AA33" s="31"/>
      <c r="AB33" s="31"/>
      <c r="AC33" s="29"/>
      <c r="AD33" s="31"/>
      <c r="AE33" s="31"/>
      <c r="AF33" s="31"/>
      <c r="AG33" s="31"/>
      <c r="AH33" s="31"/>
      <c r="AI33" s="31"/>
      <c r="AJ33" s="31"/>
      <c r="AK33" s="31"/>
      <c r="AL33" s="31"/>
      <c r="AM33" s="31"/>
      <c r="AN33" s="31"/>
      <c r="AO33" s="31"/>
      <c r="AP33" s="29"/>
      <c r="AQ33" s="31"/>
      <c r="AR33" s="31"/>
      <c r="AS33" s="31"/>
      <c r="AT33" s="31"/>
      <c r="AU33" s="31"/>
      <c r="AV33" s="31"/>
      <c r="AW33" s="31"/>
      <c r="AX33" s="31"/>
      <c r="AY33" s="31"/>
      <c r="AZ33" s="31"/>
      <c r="BA33" s="31"/>
      <c r="BB33" s="31"/>
      <c r="BC33" s="31"/>
      <c r="BD33" s="29"/>
      <c r="BE33" s="31"/>
      <c r="BF33" s="31"/>
      <c r="BG33" s="31"/>
      <c r="BH33" s="31"/>
      <c r="BI33" s="31"/>
      <c r="BJ33" s="31"/>
      <c r="BK33" s="31"/>
      <c r="BL33" s="31"/>
      <c r="BM33" s="31"/>
      <c r="BN33" s="31"/>
      <c r="BO33" s="31"/>
      <c r="BP33" s="31"/>
      <c r="BQ33" s="31"/>
      <c r="BR33" s="31"/>
      <c r="BS33" s="31"/>
      <c r="BT33" s="27"/>
      <c r="BU33" s="27"/>
      <c r="BV33" s="27"/>
      <c r="BW33" s="27"/>
      <c r="BX33" s="27"/>
      <c r="BY33" s="27"/>
      <c r="BZ33" s="27"/>
      <c r="CA33" s="27"/>
      <c r="CB33" s="27"/>
      <c r="CC33" s="27"/>
    </row>
    <row r="34" spans="5:110" ht="14.4" customHeight="1" x14ac:dyDescent="1.65">
      <c r="E34" s="27"/>
      <c r="F34" s="29"/>
      <c r="G34" s="31"/>
      <c r="H34" s="31"/>
      <c r="I34" s="31"/>
      <c r="J34" s="31"/>
      <c r="K34" s="31"/>
      <c r="L34" s="31"/>
      <c r="M34" s="31"/>
      <c r="N34" s="31"/>
      <c r="O34" s="31"/>
      <c r="P34" s="31"/>
      <c r="Q34" s="28"/>
      <c r="R34" s="31"/>
      <c r="S34" s="31"/>
      <c r="T34" s="31"/>
      <c r="U34" s="31"/>
      <c r="V34" s="31"/>
      <c r="W34" s="31"/>
      <c r="X34" s="31"/>
      <c r="Y34" s="31"/>
      <c r="Z34" s="31"/>
      <c r="AA34" s="31"/>
      <c r="AB34" s="31"/>
      <c r="AC34" s="29"/>
      <c r="AD34" s="31"/>
      <c r="AE34" s="31"/>
      <c r="AF34" s="31"/>
      <c r="AG34" s="31"/>
      <c r="AH34" s="31"/>
      <c r="AI34" s="31"/>
      <c r="AJ34" s="31"/>
      <c r="AK34" s="31"/>
      <c r="AL34" s="31"/>
      <c r="AM34" s="31"/>
      <c r="AN34" s="31"/>
      <c r="AO34" s="31"/>
      <c r="AP34" s="29"/>
      <c r="AQ34" s="31"/>
      <c r="AR34" s="31"/>
      <c r="AS34" s="31"/>
      <c r="AT34" s="31"/>
      <c r="AU34" s="31"/>
      <c r="AV34" s="31"/>
      <c r="AW34" s="31"/>
      <c r="AX34" s="31"/>
      <c r="AY34" s="31"/>
      <c r="AZ34" s="31"/>
      <c r="BA34" s="31"/>
      <c r="BB34" s="31"/>
      <c r="BC34" s="31"/>
      <c r="BD34" s="29"/>
      <c r="BE34" s="31"/>
      <c r="BF34" s="31"/>
      <c r="BG34" s="31"/>
      <c r="BH34" s="31"/>
      <c r="BI34" s="31"/>
      <c r="BJ34" s="31"/>
      <c r="BK34" s="31"/>
      <c r="BL34" s="31"/>
      <c r="BM34" s="31"/>
      <c r="BN34" s="31"/>
      <c r="BO34" s="31"/>
      <c r="BP34" s="31"/>
      <c r="BQ34" s="31"/>
      <c r="BR34" s="31"/>
      <c r="BS34" s="31"/>
      <c r="BT34" s="27"/>
      <c r="BU34" s="27"/>
      <c r="BV34" s="27"/>
      <c r="BW34" s="27"/>
      <c r="BX34" s="27"/>
      <c r="BY34" s="27"/>
      <c r="BZ34" s="27"/>
      <c r="CA34" s="27"/>
      <c r="CB34" s="27"/>
      <c r="CC34" s="27"/>
    </row>
    <row r="35" spans="5:110" ht="14.4" customHeight="1" x14ac:dyDescent="1.65">
      <c r="E35" s="27"/>
      <c r="F35" s="29"/>
      <c r="G35" s="31"/>
      <c r="H35" s="31"/>
      <c r="I35" s="31"/>
      <c r="J35" s="31"/>
      <c r="K35" s="31"/>
      <c r="L35" s="31"/>
      <c r="M35" s="31"/>
      <c r="N35" s="31"/>
      <c r="O35" s="31"/>
      <c r="P35" s="31"/>
      <c r="Q35" s="28"/>
      <c r="R35" s="31"/>
      <c r="S35" s="31"/>
      <c r="T35" s="31"/>
      <c r="U35" s="31"/>
      <c r="V35" s="31"/>
      <c r="W35" s="31"/>
      <c r="X35" s="31"/>
      <c r="Y35" s="31"/>
      <c r="Z35" s="31"/>
      <c r="AA35" s="31"/>
      <c r="AB35" s="31"/>
      <c r="AC35" s="29"/>
      <c r="AD35" s="31"/>
      <c r="AE35" s="31"/>
      <c r="AF35" s="31"/>
      <c r="AG35" s="31"/>
      <c r="AH35" s="31"/>
      <c r="AI35" s="31"/>
      <c r="AJ35" s="31"/>
      <c r="AK35" s="31"/>
      <c r="AL35" s="31"/>
      <c r="AM35" s="31"/>
      <c r="AN35" s="31"/>
      <c r="AO35" s="31"/>
      <c r="AP35" s="29"/>
      <c r="AQ35" s="31"/>
      <c r="AR35" s="31"/>
      <c r="AS35" s="31"/>
      <c r="AT35" s="31"/>
      <c r="AU35" s="31"/>
      <c r="AV35" s="31"/>
      <c r="AW35" s="31"/>
      <c r="AX35" s="31"/>
      <c r="AY35" s="31"/>
      <c r="AZ35" s="31"/>
      <c r="BA35" s="31"/>
      <c r="BB35" s="31"/>
      <c r="BC35" s="31"/>
      <c r="BD35" s="29"/>
      <c r="BE35" s="31"/>
      <c r="BF35" s="31"/>
      <c r="BG35" s="31"/>
      <c r="BH35" s="31"/>
      <c r="BI35" s="31"/>
      <c r="BJ35" s="31"/>
      <c r="BK35" s="31"/>
      <c r="BL35" s="31"/>
      <c r="BM35" s="31"/>
      <c r="BN35" s="31"/>
      <c r="BO35" s="31"/>
      <c r="BP35" s="31"/>
      <c r="BQ35" s="31"/>
      <c r="BR35" s="31"/>
      <c r="BS35" s="31"/>
      <c r="BT35" s="27"/>
      <c r="BU35" s="27"/>
      <c r="BV35" s="27"/>
      <c r="BW35" s="27"/>
      <c r="BX35" s="27"/>
      <c r="BY35" s="27"/>
      <c r="BZ35" s="27"/>
      <c r="CA35" s="27"/>
      <c r="CB35" s="27"/>
      <c r="CC35" s="27"/>
    </row>
    <row r="36" spans="5:110" ht="14.4" customHeight="1" x14ac:dyDescent="1.65">
      <c r="E36" s="27"/>
      <c r="F36" s="29"/>
      <c r="G36" s="31"/>
      <c r="H36" s="31"/>
      <c r="I36" s="31"/>
      <c r="J36" s="31"/>
      <c r="K36" s="31"/>
      <c r="L36" s="31"/>
      <c r="M36" s="31"/>
      <c r="N36" s="31"/>
      <c r="O36" s="31"/>
      <c r="P36" s="31"/>
      <c r="Q36" s="28"/>
      <c r="R36" s="31"/>
      <c r="S36" s="31"/>
      <c r="T36" s="31"/>
      <c r="U36" s="31"/>
      <c r="V36" s="31"/>
      <c r="W36" s="31"/>
      <c r="X36" s="31"/>
      <c r="Y36" s="31"/>
      <c r="Z36" s="31"/>
      <c r="AA36" s="31"/>
      <c r="AB36" s="31"/>
      <c r="AC36" s="29"/>
      <c r="AD36" s="31"/>
      <c r="AE36" s="31"/>
      <c r="AF36" s="31"/>
      <c r="AG36" s="31"/>
      <c r="AH36" s="31"/>
      <c r="AI36" s="31"/>
      <c r="AJ36" s="31"/>
      <c r="AK36" s="31"/>
      <c r="AL36" s="31"/>
      <c r="AM36" s="31"/>
      <c r="AN36" s="31"/>
      <c r="AO36" s="31"/>
      <c r="AP36" s="29"/>
      <c r="AQ36" s="31"/>
      <c r="AR36" s="31"/>
      <c r="AS36" s="31"/>
      <c r="AT36" s="31"/>
      <c r="AU36" s="31"/>
      <c r="AV36" s="31"/>
      <c r="AW36" s="31"/>
      <c r="AX36" s="31"/>
      <c r="AY36" s="31"/>
      <c r="AZ36" s="31"/>
      <c r="BA36" s="31"/>
      <c r="BB36" s="31"/>
      <c r="BC36" s="31"/>
      <c r="BD36" s="29"/>
      <c r="BE36" s="31"/>
      <c r="BF36" s="31"/>
      <c r="BG36" s="31"/>
      <c r="BH36" s="31"/>
      <c r="BI36" s="31"/>
      <c r="BJ36" s="31"/>
      <c r="BK36" s="31"/>
      <c r="BL36" s="31"/>
      <c r="BM36" s="31"/>
      <c r="BN36" s="31"/>
      <c r="BO36" s="31"/>
      <c r="BP36" s="31"/>
      <c r="BQ36" s="31"/>
      <c r="BR36" s="31"/>
      <c r="BS36" s="31"/>
      <c r="BT36" s="27"/>
      <c r="BU36" s="27"/>
      <c r="BV36" s="27"/>
      <c r="BW36" s="27"/>
      <c r="BX36" s="27"/>
      <c r="BY36" s="27"/>
      <c r="BZ36" s="27"/>
      <c r="CA36" s="27"/>
      <c r="CB36" s="27"/>
      <c r="CC36" s="27"/>
      <c r="CL36" s="24"/>
      <c r="CM36" s="24"/>
      <c r="CN36" s="24"/>
      <c r="CO36" s="24"/>
      <c r="CP36" s="24"/>
      <c r="CQ36" s="24"/>
      <c r="CR36" s="24"/>
      <c r="CS36" s="24"/>
      <c r="CT36" s="24"/>
      <c r="CU36" s="24"/>
      <c r="CV36" s="24"/>
      <c r="CW36" s="24"/>
      <c r="CX36" s="24"/>
      <c r="CY36" s="24"/>
      <c r="CZ36" s="24"/>
      <c r="DA36" s="24"/>
      <c r="DB36" s="24"/>
      <c r="DC36" s="24"/>
      <c r="DD36" s="24"/>
      <c r="DE36" s="24"/>
      <c r="DF36" s="24"/>
    </row>
    <row r="37" spans="5:110" ht="14.4" customHeight="1" x14ac:dyDescent="1.65">
      <c r="E37" s="27"/>
      <c r="F37" s="29"/>
      <c r="G37" s="31"/>
      <c r="H37" s="31"/>
      <c r="I37" s="31"/>
      <c r="J37" s="31"/>
      <c r="K37" s="31"/>
      <c r="L37" s="31"/>
      <c r="M37" s="31"/>
      <c r="N37" s="31"/>
      <c r="O37" s="31"/>
      <c r="P37" s="31"/>
      <c r="Q37" s="28"/>
      <c r="R37" s="31"/>
      <c r="S37" s="31"/>
      <c r="T37" s="31"/>
      <c r="U37" s="31"/>
      <c r="V37" s="31"/>
      <c r="W37" s="31"/>
      <c r="X37" s="31"/>
      <c r="Y37" s="31"/>
      <c r="Z37" s="31"/>
      <c r="AA37" s="31"/>
      <c r="AB37" s="31"/>
      <c r="AC37" s="29"/>
      <c r="AD37" s="31"/>
      <c r="AE37" s="31"/>
      <c r="AF37" s="31"/>
      <c r="AG37" s="31"/>
      <c r="AH37" s="31"/>
      <c r="AI37" s="31"/>
      <c r="AJ37" s="31"/>
      <c r="AK37" s="31"/>
      <c r="AL37" s="31"/>
      <c r="AM37" s="31"/>
      <c r="AN37" s="31"/>
      <c r="AO37" s="31"/>
      <c r="AP37" s="29"/>
      <c r="AQ37" s="31"/>
      <c r="AR37" s="31"/>
      <c r="AS37" s="31"/>
      <c r="AT37" s="31"/>
      <c r="AU37" s="31"/>
      <c r="AV37" s="31"/>
      <c r="AW37" s="31"/>
      <c r="AX37" s="31"/>
      <c r="AY37" s="31"/>
      <c r="AZ37" s="31"/>
      <c r="BA37" s="31"/>
      <c r="BB37" s="31"/>
      <c r="BC37" s="31"/>
      <c r="BD37" s="29"/>
      <c r="BE37" s="31"/>
      <c r="BF37" s="31"/>
      <c r="BG37" s="31"/>
      <c r="BH37" s="31"/>
      <c r="BI37" s="31"/>
      <c r="BJ37" s="31"/>
      <c r="BK37" s="31"/>
      <c r="BL37" s="31"/>
      <c r="BM37" s="31"/>
      <c r="BN37" s="31"/>
      <c r="BO37" s="31"/>
      <c r="BP37" s="31"/>
      <c r="BQ37" s="31"/>
      <c r="BR37" s="31"/>
      <c r="BS37" s="31"/>
      <c r="BT37" s="27"/>
      <c r="BU37" s="27"/>
      <c r="BV37" s="27"/>
      <c r="BW37" s="27"/>
      <c r="BX37" s="27"/>
      <c r="BY37" s="27"/>
      <c r="BZ37" s="27"/>
      <c r="CA37" s="27"/>
      <c r="CB37" s="27"/>
      <c r="CC37" s="27"/>
      <c r="CL37" s="24"/>
      <c r="CM37" s="24"/>
      <c r="CN37" s="24"/>
      <c r="CO37" s="24"/>
      <c r="CP37" s="24"/>
      <c r="CQ37" s="24"/>
      <c r="CR37" s="24"/>
      <c r="CS37" s="24"/>
      <c r="CT37" s="24"/>
      <c r="CU37" s="24"/>
      <c r="CV37" s="24"/>
      <c r="CW37" s="24"/>
      <c r="CX37" s="24"/>
      <c r="CY37" s="24"/>
      <c r="CZ37" s="24"/>
      <c r="DA37" s="24"/>
      <c r="DB37" s="24"/>
      <c r="DC37" s="24"/>
      <c r="DD37" s="24"/>
      <c r="DE37" s="24"/>
      <c r="DF37" s="24"/>
    </row>
    <row r="38" spans="5:110" ht="14.4" customHeight="1" x14ac:dyDescent="1.65">
      <c r="E38" s="27"/>
      <c r="F38" s="29"/>
      <c r="G38" s="31"/>
      <c r="H38" s="31"/>
      <c r="I38" s="31"/>
      <c r="J38" s="31"/>
      <c r="K38" s="31"/>
      <c r="L38" s="31"/>
      <c r="M38" s="31"/>
      <c r="N38" s="31"/>
      <c r="O38" s="31"/>
      <c r="P38" s="31"/>
      <c r="Q38" s="28"/>
      <c r="R38" s="31"/>
      <c r="S38" s="31"/>
      <c r="T38" s="31"/>
      <c r="U38" s="31"/>
      <c r="V38" s="31"/>
      <c r="W38" s="31"/>
      <c r="X38" s="31"/>
      <c r="Y38" s="31"/>
      <c r="Z38" s="31"/>
      <c r="AA38" s="31"/>
      <c r="AB38" s="31"/>
      <c r="AC38" s="29"/>
      <c r="AD38" s="31"/>
      <c r="AE38" s="31"/>
      <c r="AF38" s="31"/>
      <c r="AG38" s="31"/>
      <c r="AH38" s="31"/>
      <c r="AI38" s="31"/>
      <c r="AJ38" s="31"/>
      <c r="AK38" s="31"/>
      <c r="AL38" s="31"/>
      <c r="AM38" s="31"/>
      <c r="AN38" s="31"/>
      <c r="AO38" s="31"/>
      <c r="AP38" s="29"/>
      <c r="AQ38" s="31"/>
      <c r="AR38" s="31"/>
      <c r="AS38" s="31"/>
      <c r="AT38" s="31"/>
      <c r="AU38" s="31"/>
      <c r="AV38" s="31"/>
      <c r="AW38" s="31"/>
      <c r="AX38" s="31"/>
      <c r="AY38" s="31"/>
      <c r="AZ38" s="31"/>
      <c r="BA38" s="31"/>
      <c r="BB38" s="31"/>
      <c r="BC38" s="31"/>
      <c r="BD38" s="29"/>
      <c r="BE38" s="31"/>
      <c r="BF38" s="31"/>
      <c r="BG38" s="31"/>
      <c r="BH38" s="31"/>
      <c r="BI38" s="31"/>
      <c r="BJ38" s="31"/>
      <c r="BK38" s="31"/>
      <c r="BL38" s="31"/>
      <c r="BM38" s="31"/>
      <c r="BN38" s="31"/>
      <c r="BO38" s="31"/>
      <c r="BP38" s="31"/>
      <c r="BQ38" s="31"/>
      <c r="BR38" s="31"/>
      <c r="BS38" s="31"/>
      <c r="BT38" s="27"/>
      <c r="BU38" s="27"/>
      <c r="BV38" s="27"/>
      <c r="BW38" s="27"/>
      <c r="BX38" s="27"/>
      <c r="BY38" s="27"/>
      <c r="BZ38" s="27"/>
      <c r="CA38" s="27"/>
      <c r="CB38" s="27"/>
      <c r="CC38" s="27"/>
      <c r="CL38" s="24"/>
      <c r="CM38" s="24"/>
      <c r="CN38" s="24"/>
      <c r="CO38" s="24"/>
      <c r="CP38" s="24"/>
      <c r="CQ38" s="24"/>
      <c r="CR38" s="24"/>
      <c r="CS38" s="24"/>
      <c r="CT38" s="24"/>
      <c r="CU38" s="24"/>
      <c r="CV38" s="24"/>
      <c r="CW38" s="24"/>
      <c r="CX38" s="24"/>
      <c r="CY38" s="24"/>
      <c r="CZ38" s="24"/>
      <c r="DA38" s="24"/>
      <c r="DB38" s="24"/>
      <c r="DC38" s="24"/>
      <c r="DD38" s="24"/>
      <c r="DE38" s="24"/>
      <c r="DF38" s="24"/>
    </row>
    <row r="39" spans="5:110" ht="14.4" customHeight="1" x14ac:dyDescent="1.65">
      <c r="E39" s="27"/>
      <c r="F39" s="29"/>
      <c r="G39" s="31"/>
      <c r="H39" s="31"/>
      <c r="I39" s="31"/>
      <c r="J39" s="31"/>
      <c r="K39" s="31"/>
      <c r="L39" s="31"/>
      <c r="M39" s="31"/>
      <c r="N39" s="31"/>
      <c r="O39" s="31"/>
      <c r="P39" s="31"/>
      <c r="Q39" s="28"/>
      <c r="R39" s="31"/>
      <c r="S39" s="31"/>
      <c r="T39" s="31"/>
      <c r="U39" s="31"/>
      <c r="V39" s="31"/>
      <c r="W39" s="31"/>
      <c r="X39" s="31"/>
      <c r="Y39" s="31"/>
      <c r="Z39" s="31"/>
      <c r="AA39" s="31"/>
      <c r="AB39" s="31"/>
      <c r="AC39" s="29"/>
      <c r="AD39" s="31"/>
      <c r="AE39" s="31"/>
      <c r="AF39" s="31"/>
      <c r="AG39" s="31"/>
      <c r="AH39" s="31"/>
      <c r="AI39" s="31"/>
      <c r="AJ39" s="31"/>
      <c r="AK39" s="31"/>
      <c r="AL39" s="31"/>
      <c r="AM39" s="31"/>
      <c r="AN39" s="31"/>
      <c r="AO39" s="31"/>
      <c r="AP39" s="29"/>
      <c r="AQ39" s="31"/>
      <c r="AR39" s="31"/>
      <c r="AS39" s="31"/>
      <c r="AT39" s="31"/>
      <c r="AU39" s="31"/>
      <c r="AV39" s="31"/>
      <c r="AW39" s="31"/>
      <c r="AX39" s="31"/>
      <c r="AY39" s="31"/>
      <c r="AZ39" s="31"/>
      <c r="BA39" s="31"/>
      <c r="BB39" s="31"/>
      <c r="BC39" s="31"/>
      <c r="BD39" s="29"/>
      <c r="BE39" s="31"/>
      <c r="BF39" s="31"/>
      <c r="BG39" s="31"/>
      <c r="BH39" s="31"/>
      <c r="BI39" s="31"/>
      <c r="BJ39" s="31"/>
      <c r="BK39" s="31"/>
      <c r="BL39" s="31"/>
      <c r="BM39" s="31"/>
      <c r="BN39" s="31"/>
      <c r="BO39" s="31"/>
      <c r="BP39" s="31"/>
      <c r="BQ39" s="31"/>
      <c r="BR39" s="31"/>
      <c r="BS39" s="31"/>
      <c r="BT39" s="27"/>
      <c r="BU39" s="27"/>
      <c r="BV39" s="27"/>
      <c r="BW39" s="27"/>
      <c r="BX39" s="27"/>
      <c r="BY39" s="27"/>
      <c r="BZ39" s="27"/>
      <c r="CA39" s="27"/>
      <c r="CB39" s="27"/>
      <c r="CC39" s="27"/>
      <c r="CL39" s="24"/>
      <c r="CM39" s="24"/>
      <c r="CN39" s="24"/>
      <c r="CO39" s="24"/>
      <c r="CP39" s="24"/>
      <c r="CQ39" s="24"/>
      <c r="CR39" s="24"/>
      <c r="CS39" s="24"/>
      <c r="CT39" s="24"/>
      <c r="CU39" s="24"/>
      <c r="CV39" s="24"/>
      <c r="CW39" s="24"/>
      <c r="CX39" s="24"/>
      <c r="CY39" s="24"/>
      <c r="CZ39" s="24"/>
      <c r="DA39" s="24"/>
      <c r="DB39" s="24"/>
      <c r="DC39" s="24"/>
      <c r="DD39" s="24"/>
      <c r="DE39" s="24"/>
      <c r="DF39" s="24"/>
    </row>
    <row r="40" spans="5:110" ht="14.4" customHeight="1" x14ac:dyDescent="1.65">
      <c r="E40" s="27"/>
      <c r="F40" s="29"/>
      <c r="G40" s="31"/>
      <c r="H40" s="31"/>
      <c r="I40" s="31"/>
      <c r="J40" s="31"/>
      <c r="K40" s="31"/>
      <c r="L40" s="31"/>
      <c r="M40" s="31"/>
      <c r="N40" s="31"/>
      <c r="O40" s="31"/>
      <c r="P40" s="31"/>
      <c r="Q40" s="28"/>
      <c r="R40" s="31"/>
      <c r="S40" s="31"/>
      <c r="T40" s="31"/>
      <c r="U40" s="31"/>
      <c r="V40" s="31"/>
      <c r="W40" s="31"/>
      <c r="X40" s="31"/>
      <c r="Y40" s="31"/>
      <c r="Z40" s="31"/>
      <c r="AA40" s="31"/>
      <c r="AB40" s="31"/>
      <c r="AC40" s="29"/>
      <c r="AD40" s="31"/>
      <c r="AE40" s="31"/>
      <c r="AF40" s="31"/>
      <c r="AG40" s="31"/>
      <c r="AH40" s="31"/>
      <c r="AI40" s="31"/>
      <c r="AJ40" s="31"/>
      <c r="AK40" s="31"/>
      <c r="AL40" s="31"/>
      <c r="AM40" s="31"/>
      <c r="AN40" s="31"/>
      <c r="AO40" s="31"/>
      <c r="AP40" s="29"/>
      <c r="AQ40" s="31"/>
      <c r="AR40" s="31"/>
      <c r="AS40" s="31"/>
      <c r="AT40" s="31"/>
      <c r="AU40" s="31"/>
      <c r="AV40" s="31"/>
      <c r="AW40" s="31"/>
      <c r="AX40" s="31"/>
      <c r="AY40" s="31"/>
      <c r="AZ40" s="31"/>
      <c r="BA40" s="31"/>
      <c r="BB40" s="31"/>
      <c r="BC40" s="31"/>
      <c r="BD40" s="29"/>
      <c r="BE40" s="31"/>
      <c r="BF40" s="31"/>
      <c r="BG40" s="31"/>
      <c r="BH40" s="31"/>
      <c r="BI40" s="31"/>
      <c r="BJ40" s="31"/>
      <c r="BK40" s="31"/>
      <c r="BL40" s="31"/>
      <c r="BM40" s="31"/>
      <c r="BN40" s="31"/>
      <c r="BO40" s="31"/>
      <c r="BP40" s="31"/>
      <c r="BQ40" s="31"/>
      <c r="BR40" s="31"/>
      <c r="BS40" s="31"/>
      <c r="BT40" s="27"/>
      <c r="BU40" s="27"/>
      <c r="BV40" s="27"/>
      <c r="BW40" s="27"/>
      <c r="BX40" s="27"/>
      <c r="BY40" s="27"/>
      <c r="BZ40" s="27"/>
      <c r="CA40" s="27"/>
      <c r="CB40" s="27"/>
      <c r="CC40" s="27"/>
      <c r="CL40" s="24"/>
      <c r="CM40" s="24"/>
      <c r="CN40" s="24"/>
      <c r="CO40" s="24"/>
      <c r="CP40" s="24"/>
      <c r="CQ40" s="24"/>
      <c r="CR40" s="24"/>
      <c r="CS40" s="24"/>
      <c r="CT40" s="24"/>
      <c r="CU40" s="24"/>
      <c r="CV40" s="24"/>
      <c r="CW40" s="24"/>
      <c r="CX40" s="24"/>
      <c r="CY40" s="24"/>
      <c r="CZ40" s="24"/>
      <c r="DA40" s="24"/>
      <c r="DB40" s="24"/>
      <c r="DC40" s="24"/>
      <c r="DD40" s="24"/>
      <c r="DE40" s="24"/>
      <c r="DF40" s="24"/>
    </row>
    <row r="41" spans="5:110" ht="14.4" customHeight="1" x14ac:dyDescent="1.65">
      <c r="E41" s="27"/>
      <c r="F41" s="29"/>
      <c r="G41" s="31"/>
      <c r="H41" s="31"/>
      <c r="I41" s="31"/>
      <c r="J41" s="31"/>
      <c r="K41" s="31"/>
      <c r="L41" s="31"/>
      <c r="M41" s="31"/>
      <c r="N41" s="31"/>
      <c r="O41" s="31"/>
      <c r="P41" s="31"/>
      <c r="Q41" s="28"/>
      <c r="R41" s="31"/>
      <c r="S41" s="31"/>
      <c r="T41" s="31"/>
      <c r="U41" s="31"/>
      <c r="V41" s="31"/>
      <c r="W41" s="31"/>
      <c r="X41" s="31"/>
      <c r="Y41" s="31"/>
      <c r="Z41" s="31"/>
      <c r="AA41" s="31"/>
      <c r="AB41" s="31"/>
      <c r="AC41" s="29"/>
      <c r="AD41" s="31"/>
      <c r="AE41" s="31"/>
      <c r="AF41" s="31"/>
      <c r="AG41" s="31"/>
      <c r="AH41" s="31"/>
      <c r="AI41" s="31"/>
      <c r="AJ41" s="31"/>
      <c r="AK41" s="31"/>
      <c r="AL41" s="31"/>
      <c r="AM41" s="31"/>
      <c r="AN41" s="31"/>
      <c r="AO41" s="31"/>
      <c r="AP41" s="29"/>
      <c r="AQ41" s="31"/>
      <c r="AR41" s="31"/>
      <c r="AS41" s="31"/>
      <c r="AT41" s="31"/>
      <c r="AU41" s="31"/>
      <c r="AV41" s="31"/>
      <c r="AW41" s="31"/>
      <c r="AX41" s="31"/>
      <c r="AY41" s="31"/>
      <c r="AZ41" s="31"/>
      <c r="BA41" s="31"/>
      <c r="BB41" s="31"/>
      <c r="BC41" s="31"/>
      <c r="BD41" s="29"/>
      <c r="BE41" s="31"/>
      <c r="BF41" s="31"/>
      <c r="BG41" s="31"/>
      <c r="BH41" s="31"/>
      <c r="BI41" s="31"/>
      <c r="BJ41" s="31"/>
      <c r="BK41" s="31"/>
      <c r="BL41" s="31"/>
      <c r="BM41" s="31"/>
      <c r="BN41" s="31"/>
      <c r="BO41" s="31"/>
      <c r="BP41" s="31"/>
      <c r="BQ41" s="31"/>
      <c r="BR41" s="31"/>
      <c r="BS41" s="31"/>
      <c r="BT41" s="27"/>
      <c r="BU41" s="27"/>
      <c r="BV41" s="27"/>
      <c r="BW41" s="27"/>
      <c r="BX41" s="27"/>
      <c r="BY41" s="27"/>
      <c r="BZ41" s="27"/>
      <c r="CA41" s="27"/>
      <c r="CB41" s="27"/>
      <c r="CC41" s="27"/>
      <c r="CL41" s="24"/>
      <c r="CM41" s="24"/>
      <c r="CN41" s="24"/>
      <c r="CO41" s="24"/>
      <c r="CP41" s="24"/>
      <c r="CQ41" s="24"/>
      <c r="CR41" s="24"/>
      <c r="CS41" s="24"/>
      <c r="CT41" s="24"/>
      <c r="CU41" s="24"/>
      <c r="CV41" s="24"/>
      <c r="CW41" s="24"/>
      <c r="CX41" s="24"/>
      <c r="CY41" s="24"/>
      <c r="CZ41" s="24"/>
      <c r="DA41" s="24"/>
      <c r="DB41" s="24"/>
      <c r="DC41" s="24"/>
      <c r="DD41" s="24"/>
      <c r="DE41" s="24"/>
      <c r="DF41" s="24"/>
    </row>
    <row r="42" spans="5:110" ht="14.4" customHeight="1" x14ac:dyDescent="1.65">
      <c r="E42" s="27"/>
      <c r="F42" s="29"/>
      <c r="G42" s="31"/>
      <c r="H42" s="31"/>
      <c r="I42" s="31"/>
      <c r="J42" s="31"/>
      <c r="K42" s="31"/>
      <c r="L42" s="31"/>
      <c r="M42" s="31"/>
      <c r="N42" s="31"/>
      <c r="O42" s="31"/>
      <c r="P42" s="31"/>
      <c r="Q42" s="28"/>
      <c r="R42" s="31"/>
      <c r="S42" s="31"/>
      <c r="T42" s="31"/>
      <c r="U42" s="31"/>
      <c r="V42" s="31"/>
      <c r="W42" s="31"/>
      <c r="X42" s="31"/>
      <c r="Y42" s="31"/>
      <c r="Z42" s="31"/>
      <c r="AA42" s="31"/>
      <c r="AB42" s="31"/>
      <c r="AC42" s="29"/>
      <c r="AD42" s="31"/>
      <c r="AE42" s="31"/>
      <c r="AF42" s="31"/>
      <c r="AG42" s="31"/>
      <c r="AH42" s="31"/>
      <c r="AI42" s="31"/>
      <c r="AJ42" s="31"/>
      <c r="AK42" s="31"/>
      <c r="AL42" s="31"/>
      <c r="AM42" s="31"/>
      <c r="AN42" s="31"/>
      <c r="AO42" s="31"/>
      <c r="AP42" s="29"/>
      <c r="AQ42" s="31"/>
      <c r="AR42" s="31"/>
      <c r="AS42" s="31"/>
      <c r="AT42" s="31"/>
      <c r="AU42" s="31"/>
      <c r="AV42" s="31"/>
      <c r="AW42" s="31"/>
      <c r="AX42" s="31"/>
      <c r="AY42" s="31"/>
      <c r="AZ42" s="31"/>
      <c r="BA42" s="31"/>
      <c r="BB42" s="31"/>
      <c r="BC42" s="31"/>
      <c r="BD42" s="29"/>
      <c r="BE42" s="31"/>
      <c r="BF42" s="31"/>
      <c r="BG42" s="31"/>
      <c r="BH42" s="31"/>
      <c r="BI42" s="31"/>
      <c r="BJ42" s="31"/>
      <c r="BK42" s="31"/>
      <c r="BL42" s="31"/>
      <c r="BM42" s="31"/>
      <c r="BN42" s="31"/>
      <c r="BO42" s="31"/>
      <c r="BP42" s="31"/>
      <c r="BQ42" s="31"/>
      <c r="BR42" s="31"/>
      <c r="BS42" s="31"/>
      <c r="BT42" s="27"/>
      <c r="BU42" s="27"/>
      <c r="BV42" s="27"/>
      <c r="BW42" s="27"/>
      <c r="BX42" s="27"/>
      <c r="BY42" s="27"/>
      <c r="BZ42" s="27"/>
      <c r="CA42" s="27"/>
      <c r="CB42" s="27"/>
      <c r="CC42" s="27"/>
      <c r="CL42" s="24"/>
      <c r="CM42" s="24"/>
      <c r="CN42" s="24"/>
      <c r="CO42" s="24"/>
      <c r="CP42" s="24"/>
      <c r="CQ42" s="24"/>
      <c r="CR42" s="24"/>
      <c r="CS42" s="24"/>
      <c r="CT42" s="24"/>
      <c r="CU42" s="24"/>
      <c r="CV42" s="24"/>
      <c r="CW42" s="24"/>
      <c r="CX42" s="24"/>
      <c r="CY42" s="24"/>
      <c r="CZ42" s="24"/>
      <c r="DA42" s="24"/>
      <c r="DB42" s="24"/>
      <c r="DC42" s="24"/>
      <c r="DD42" s="24"/>
      <c r="DE42" s="24"/>
      <c r="DF42" s="24"/>
    </row>
    <row r="43" spans="5:110" ht="14.4" customHeight="1" x14ac:dyDescent="1.65">
      <c r="E43" s="27"/>
      <c r="F43" s="29"/>
      <c r="G43" s="31"/>
      <c r="H43" s="31"/>
      <c r="I43" s="31"/>
      <c r="J43" s="31"/>
      <c r="K43" s="31"/>
      <c r="L43" s="31"/>
      <c r="M43" s="31"/>
      <c r="N43" s="31"/>
      <c r="O43" s="31"/>
      <c r="P43" s="31"/>
      <c r="Q43" s="28"/>
      <c r="R43" s="31"/>
      <c r="S43" s="31"/>
      <c r="T43" s="31"/>
      <c r="U43" s="31"/>
      <c r="V43" s="31"/>
      <c r="W43" s="31"/>
      <c r="X43" s="31"/>
      <c r="Y43" s="31"/>
      <c r="Z43" s="31"/>
      <c r="AA43" s="31"/>
      <c r="AB43" s="31"/>
      <c r="AC43" s="29"/>
      <c r="AD43" s="31"/>
      <c r="AE43" s="31"/>
      <c r="AF43" s="31"/>
      <c r="AG43" s="31"/>
      <c r="AH43" s="31"/>
      <c r="AI43" s="31"/>
      <c r="AJ43" s="31"/>
      <c r="AK43" s="31"/>
      <c r="AL43" s="31"/>
      <c r="AM43" s="31"/>
      <c r="AN43" s="31"/>
      <c r="AO43" s="31"/>
      <c r="AP43" s="29"/>
      <c r="AQ43" s="31"/>
      <c r="AR43" s="31"/>
      <c r="AS43" s="31"/>
      <c r="AT43" s="31"/>
      <c r="AU43" s="31"/>
      <c r="AV43" s="31"/>
      <c r="AW43" s="31"/>
      <c r="AX43" s="31"/>
      <c r="AY43" s="31"/>
      <c r="AZ43" s="31"/>
      <c r="BA43" s="31"/>
      <c r="BB43" s="31"/>
      <c r="BC43" s="31"/>
      <c r="BD43" s="29"/>
      <c r="BE43" s="31"/>
      <c r="BF43" s="31"/>
      <c r="BG43" s="31"/>
      <c r="BH43" s="31"/>
      <c r="BI43" s="31"/>
      <c r="BJ43" s="31"/>
      <c r="BK43" s="31"/>
      <c r="BL43" s="31"/>
      <c r="BM43" s="31"/>
      <c r="BN43" s="31"/>
      <c r="BO43" s="31"/>
      <c r="BP43" s="31"/>
      <c r="BQ43" s="31"/>
      <c r="BR43" s="31"/>
      <c r="BS43" s="31"/>
      <c r="BT43" s="27"/>
      <c r="BU43" s="27"/>
      <c r="BV43" s="27"/>
      <c r="BW43" s="27"/>
      <c r="BX43" s="27"/>
      <c r="BY43" s="27"/>
      <c r="BZ43" s="27"/>
      <c r="CA43" s="27"/>
      <c r="CB43" s="30"/>
      <c r="CC43" s="27"/>
      <c r="CL43" s="24"/>
      <c r="CM43" s="24"/>
      <c r="CN43" s="24"/>
      <c r="CO43" s="24"/>
      <c r="CP43" s="24"/>
      <c r="CQ43" s="24"/>
      <c r="CR43" s="24"/>
      <c r="CS43" s="24"/>
      <c r="CT43" s="24"/>
      <c r="CU43" s="24"/>
      <c r="CV43" s="24"/>
      <c r="CW43" s="24"/>
      <c r="CX43" s="24"/>
      <c r="CY43" s="24"/>
      <c r="CZ43" s="24"/>
      <c r="DA43" s="24"/>
      <c r="DB43" s="24"/>
      <c r="DC43" s="24"/>
      <c r="DD43" s="24"/>
      <c r="DE43" s="24"/>
      <c r="DF43" s="24"/>
    </row>
    <row r="44" spans="5:110" ht="14.4" customHeight="1" x14ac:dyDescent="1.65">
      <c r="E44" s="27"/>
      <c r="F44" s="29"/>
      <c r="G44" s="31"/>
      <c r="H44" s="31"/>
      <c r="I44" s="31"/>
      <c r="J44" s="31"/>
      <c r="K44" s="31"/>
      <c r="L44" s="31"/>
      <c r="M44" s="31"/>
      <c r="N44" s="31"/>
      <c r="O44" s="31"/>
      <c r="P44" s="31"/>
      <c r="Q44" s="28"/>
      <c r="R44" s="31"/>
      <c r="S44" s="31"/>
      <c r="T44" s="31"/>
      <c r="U44" s="31"/>
      <c r="V44" s="31"/>
      <c r="W44" s="31"/>
      <c r="X44" s="31"/>
      <c r="Y44" s="31"/>
      <c r="Z44" s="31"/>
      <c r="AA44" s="31"/>
      <c r="AB44" s="31"/>
      <c r="AC44" s="29"/>
      <c r="AD44" s="31"/>
      <c r="AE44" s="31"/>
      <c r="AF44" s="31"/>
      <c r="AG44" s="31"/>
      <c r="AH44" s="31"/>
      <c r="AI44" s="31"/>
      <c r="AJ44" s="31"/>
      <c r="AK44" s="31"/>
      <c r="AL44" s="31"/>
      <c r="AM44" s="31"/>
      <c r="AN44" s="31"/>
      <c r="AO44" s="31"/>
      <c r="AP44" s="29"/>
      <c r="AQ44" s="31"/>
      <c r="AR44" s="31"/>
      <c r="AS44" s="31"/>
      <c r="AT44" s="31"/>
      <c r="AU44" s="31"/>
      <c r="AV44" s="31"/>
      <c r="AW44" s="31"/>
      <c r="AX44" s="31"/>
      <c r="AY44" s="31"/>
      <c r="AZ44" s="31"/>
      <c r="BA44" s="31"/>
      <c r="BB44" s="31"/>
      <c r="BC44" s="31"/>
      <c r="BD44" s="29"/>
      <c r="BE44" s="31"/>
      <c r="BF44" s="31"/>
      <c r="BG44" s="31"/>
      <c r="BH44" s="31"/>
      <c r="BI44" s="31"/>
      <c r="BJ44" s="31"/>
      <c r="BK44" s="31"/>
      <c r="BL44" s="31"/>
      <c r="BM44" s="31"/>
      <c r="BN44" s="31"/>
      <c r="BO44" s="31"/>
      <c r="BP44" s="31"/>
      <c r="BQ44" s="31"/>
      <c r="BR44" s="31"/>
      <c r="BS44" s="31"/>
      <c r="BT44" s="27"/>
      <c r="BU44" s="27"/>
      <c r="BV44" s="27"/>
      <c r="BW44" s="27"/>
      <c r="BX44" s="27"/>
      <c r="BY44" s="27"/>
      <c r="BZ44" s="27"/>
      <c r="CA44" s="27"/>
      <c r="CB44" s="30"/>
      <c r="CC44" s="27"/>
      <c r="CL44" s="24"/>
      <c r="CM44" s="24"/>
      <c r="CN44" s="24"/>
      <c r="CO44" s="24"/>
      <c r="CP44" s="24"/>
      <c r="CQ44" s="24"/>
      <c r="CR44" s="24"/>
      <c r="CS44" s="24"/>
      <c r="CT44" s="24"/>
      <c r="CU44" s="24"/>
      <c r="CV44" s="24"/>
      <c r="CW44" s="24"/>
      <c r="CX44" s="24"/>
      <c r="CY44" s="24"/>
      <c r="CZ44" s="24"/>
      <c r="DA44" s="24"/>
      <c r="DB44" s="24"/>
      <c r="DC44" s="24"/>
      <c r="DD44" s="24"/>
      <c r="DE44" s="24"/>
      <c r="DF44" s="24"/>
    </row>
    <row r="45" spans="5:110" ht="36.6" customHeight="1" x14ac:dyDescent="1.65">
      <c r="E45" s="27"/>
      <c r="F45" s="29"/>
      <c r="G45" s="31"/>
      <c r="H45" s="31"/>
      <c r="I45" s="31"/>
      <c r="J45" s="31"/>
      <c r="K45" s="31"/>
      <c r="L45" s="31"/>
      <c r="M45" s="31"/>
      <c r="N45" s="31"/>
      <c r="O45" s="31"/>
      <c r="P45" s="31"/>
      <c r="Q45" s="28"/>
      <c r="R45" s="31"/>
      <c r="S45" s="31"/>
      <c r="T45" s="31"/>
      <c r="U45" s="31"/>
      <c r="V45" s="31"/>
      <c r="W45" s="31"/>
      <c r="X45" s="31"/>
      <c r="Y45" s="31"/>
      <c r="Z45" s="31"/>
      <c r="AA45" s="31"/>
      <c r="AB45" s="31"/>
      <c r="AC45" s="29"/>
      <c r="AD45" s="31"/>
      <c r="AE45" s="31"/>
      <c r="AF45" s="31"/>
      <c r="AG45" s="31"/>
      <c r="AH45" s="31"/>
      <c r="AI45" s="31"/>
      <c r="AJ45" s="31"/>
      <c r="AK45" s="31"/>
      <c r="AL45" s="31"/>
      <c r="AM45" s="31"/>
      <c r="AN45" s="31"/>
      <c r="AO45" s="31"/>
      <c r="AP45" s="29"/>
      <c r="AQ45" s="31"/>
      <c r="AR45" s="31"/>
      <c r="AS45" s="31"/>
      <c r="AT45" s="31"/>
      <c r="AU45" s="31"/>
      <c r="AV45" s="31"/>
      <c r="AW45" s="31"/>
      <c r="AX45" s="31"/>
      <c r="AY45" s="31"/>
      <c r="AZ45" s="31"/>
      <c r="BA45" s="31"/>
      <c r="BB45" s="31"/>
      <c r="BC45" s="31"/>
      <c r="BD45" s="29"/>
      <c r="BE45" s="31"/>
      <c r="BF45" s="31"/>
      <c r="BG45" s="31"/>
      <c r="BH45" s="31"/>
      <c r="BI45" s="31"/>
      <c r="BJ45" s="31"/>
      <c r="BK45" s="31"/>
      <c r="BL45" s="31"/>
      <c r="BM45" s="31"/>
      <c r="BN45" s="31"/>
      <c r="BO45" s="31"/>
      <c r="BP45" s="31"/>
      <c r="BQ45" s="31"/>
      <c r="BR45" s="31"/>
      <c r="BS45" s="31"/>
      <c r="BT45" s="27"/>
      <c r="BU45" s="27"/>
      <c r="BV45" s="27"/>
      <c r="BW45" s="27"/>
      <c r="BX45" s="27"/>
      <c r="BY45" s="27"/>
      <c r="BZ45" s="27"/>
      <c r="CA45" s="27"/>
      <c r="CB45" s="27"/>
      <c r="CC45" s="27"/>
      <c r="CL45" s="24"/>
      <c r="CM45" s="26"/>
      <c r="CN45" s="26"/>
      <c r="CO45" s="26"/>
      <c r="CP45" s="26"/>
      <c r="CQ45" s="26"/>
      <c r="CR45" s="26"/>
      <c r="CS45" s="26"/>
      <c r="CT45" s="26"/>
      <c r="CU45" s="26"/>
      <c r="CV45" s="26"/>
      <c r="CW45" s="26"/>
      <c r="CX45" s="26"/>
      <c r="CY45" s="26"/>
      <c r="CZ45" s="24"/>
      <c r="DA45" s="24"/>
      <c r="DB45" s="24"/>
      <c r="DC45" s="24"/>
      <c r="DD45" s="24"/>
      <c r="DE45" s="24"/>
      <c r="DF45" s="24"/>
    </row>
    <row r="46" spans="5:110" ht="14.4" customHeight="1" x14ac:dyDescent="0.3">
      <c r="E46" s="27"/>
      <c r="F46" s="27"/>
      <c r="G46" s="31"/>
      <c r="H46" s="31"/>
      <c r="I46" s="31"/>
      <c r="J46" s="31"/>
      <c r="K46" s="31"/>
      <c r="L46" s="31"/>
      <c r="M46" s="31"/>
      <c r="N46" s="31"/>
      <c r="O46" s="31"/>
      <c r="P46" s="31"/>
      <c r="Q46" s="27"/>
      <c r="R46" s="31"/>
      <c r="S46" s="31"/>
      <c r="T46" s="31"/>
      <c r="U46" s="31"/>
      <c r="V46" s="31"/>
      <c r="W46" s="31"/>
      <c r="X46" s="31"/>
      <c r="Y46" s="31"/>
      <c r="Z46" s="31"/>
      <c r="AA46" s="31"/>
      <c r="AB46" s="31"/>
      <c r="AC46" s="27"/>
      <c r="AD46" s="27"/>
      <c r="AE46" s="27"/>
      <c r="AF46" s="27"/>
      <c r="AG46" s="27"/>
      <c r="AH46" s="27"/>
      <c r="AI46" s="27"/>
      <c r="AJ46" s="27"/>
      <c r="AK46" s="27"/>
      <c r="AL46" s="27"/>
      <c r="AM46" s="27"/>
      <c r="AN46" s="27"/>
      <c r="AO46" s="27"/>
      <c r="AP46" s="27"/>
      <c r="AQ46" s="27"/>
      <c r="AR46" s="27"/>
      <c r="AS46" s="27"/>
      <c r="AT46" s="27"/>
      <c r="AU46" s="27"/>
      <c r="AV46" s="27"/>
      <c r="AW46" s="27"/>
      <c r="AX46" s="27"/>
      <c r="AY46" s="27"/>
      <c r="AZ46" s="27"/>
      <c r="BA46" s="27"/>
      <c r="BB46" s="27"/>
      <c r="BC46" s="27"/>
      <c r="BD46" s="27"/>
      <c r="BE46" s="27"/>
      <c r="BF46" s="27"/>
      <c r="BG46" s="27"/>
      <c r="BH46" s="27"/>
      <c r="BI46" s="27"/>
      <c r="BJ46" s="27"/>
      <c r="BK46" s="27"/>
      <c r="BL46" s="27"/>
      <c r="BM46" s="27"/>
      <c r="BN46" s="27"/>
      <c r="BO46" s="27"/>
      <c r="BP46" s="27"/>
      <c r="BQ46" s="27"/>
      <c r="BR46" s="27"/>
      <c r="BS46" s="27"/>
      <c r="BT46" s="27"/>
      <c r="BU46" s="27"/>
      <c r="BV46" s="27"/>
      <c r="BW46" s="27"/>
      <c r="BX46" s="27"/>
      <c r="BY46" s="27"/>
      <c r="BZ46" s="27"/>
      <c r="CA46" s="27"/>
      <c r="CB46" s="27"/>
      <c r="CC46" s="27"/>
      <c r="CL46" s="24"/>
      <c r="CM46" s="26"/>
      <c r="CN46" s="26"/>
      <c r="CO46" s="26"/>
      <c r="CP46" s="26"/>
      <c r="CQ46" s="26"/>
      <c r="CR46" s="26"/>
      <c r="CS46" s="26"/>
      <c r="CT46" s="26"/>
      <c r="CU46" s="26"/>
      <c r="CV46" s="26"/>
      <c r="CW46" s="26"/>
      <c r="CX46" s="26"/>
      <c r="CY46" s="26"/>
      <c r="CZ46" s="24"/>
      <c r="DA46" s="24"/>
      <c r="DB46" s="24"/>
      <c r="DC46" s="24"/>
      <c r="DD46" s="24"/>
      <c r="DE46" s="24"/>
      <c r="DF46" s="24"/>
    </row>
    <row r="47" spans="5:110" x14ac:dyDescent="0.3">
      <c r="E47" s="27"/>
      <c r="F47" s="27"/>
      <c r="G47" s="27"/>
      <c r="H47" s="27"/>
      <c r="I47" s="27"/>
      <c r="J47" s="27"/>
      <c r="K47" s="27"/>
      <c r="L47" s="27"/>
      <c r="M47" s="27"/>
      <c r="N47" s="27"/>
      <c r="O47" s="27"/>
      <c r="P47" s="27"/>
      <c r="Q47" s="27"/>
      <c r="R47" s="27"/>
      <c r="S47" s="27"/>
      <c r="T47" s="27"/>
      <c r="U47" s="27"/>
      <c r="V47" s="27"/>
      <c r="W47" s="27"/>
      <c r="X47" s="27"/>
      <c r="Y47" s="27"/>
      <c r="Z47" s="27"/>
      <c r="AA47" s="27"/>
      <c r="AB47" s="27"/>
      <c r="AC47" s="27"/>
      <c r="AD47" s="27"/>
      <c r="AE47" s="27"/>
      <c r="AF47" s="27"/>
      <c r="AG47" s="27"/>
      <c r="AH47" s="27"/>
      <c r="AI47" s="27"/>
      <c r="AJ47" s="27"/>
      <c r="AK47" s="27"/>
      <c r="AL47" s="27"/>
      <c r="AM47" s="27"/>
      <c r="AN47" s="27"/>
      <c r="AO47" s="27"/>
      <c r="AP47" s="27"/>
      <c r="AQ47" s="27"/>
      <c r="AR47" s="27"/>
      <c r="AS47" s="27"/>
      <c r="AT47" s="27"/>
      <c r="AU47" s="27"/>
      <c r="AV47" s="27"/>
      <c r="AW47" s="27"/>
      <c r="AX47" s="27"/>
      <c r="AY47" s="27"/>
      <c r="AZ47" s="27"/>
      <c r="BA47" s="27"/>
      <c r="BB47" s="27"/>
      <c r="BC47" s="27"/>
      <c r="BD47" s="27"/>
      <c r="BE47" s="27"/>
      <c r="BF47" s="27"/>
      <c r="BG47" s="27"/>
      <c r="BH47" s="27"/>
      <c r="BI47" s="27"/>
      <c r="BJ47" s="27"/>
      <c r="BK47" s="27"/>
      <c r="BL47" s="27"/>
      <c r="BM47" s="27"/>
      <c r="BN47" s="27"/>
      <c r="BO47" s="27"/>
      <c r="BP47" s="27"/>
      <c r="BQ47" s="27"/>
      <c r="BR47" s="27"/>
      <c r="BS47" s="27"/>
      <c r="BT47" s="27"/>
      <c r="BU47" s="27"/>
      <c r="BV47" s="27"/>
      <c r="BW47" s="27"/>
      <c r="BX47" s="27"/>
      <c r="BY47" s="27"/>
      <c r="BZ47" s="27"/>
      <c r="CA47" s="27"/>
      <c r="CB47" s="27"/>
      <c r="CC47" s="27"/>
      <c r="CL47" s="24"/>
      <c r="CM47" s="26"/>
      <c r="CN47" s="26"/>
      <c r="CO47" s="26"/>
      <c r="CP47" s="26"/>
      <c r="CQ47" s="26"/>
      <c r="CR47" s="26"/>
      <c r="CS47" s="26"/>
      <c r="CT47" s="26"/>
      <c r="CU47" s="26"/>
      <c r="CV47" s="26"/>
      <c r="CW47" s="26"/>
      <c r="CX47" s="26"/>
      <c r="CY47" s="26"/>
      <c r="CZ47" s="24"/>
      <c r="DA47" s="24"/>
      <c r="DB47" s="24"/>
      <c r="DC47" s="24"/>
      <c r="DD47" s="24"/>
      <c r="DE47" s="24"/>
      <c r="DF47" s="24"/>
    </row>
    <row r="48" spans="5:110" x14ac:dyDescent="0.3">
      <c r="E48" s="27"/>
      <c r="F48" s="27"/>
      <c r="G48" s="27"/>
      <c r="H48" s="27"/>
      <c r="I48" s="27"/>
      <c r="J48" s="27"/>
      <c r="K48" s="27"/>
      <c r="L48" s="27"/>
      <c r="M48" s="27"/>
      <c r="N48" s="27"/>
      <c r="O48" s="27"/>
      <c r="P48" s="27"/>
      <c r="Q48" s="27"/>
      <c r="R48" s="27"/>
      <c r="S48" s="27"/>
      <c r="T48" s="27"/>
      <c r="U48" s="27"/>
      <c r="V48" s="27"/>
      <c r="W48" s="27"/>
      <c r="X48" s="27"/>
      <c r="Y48" s="27"/>
      <c r="Z48" s="27"/>
      <c r="AA48" s="27"/>
      <c r="AB48" s="27"/>
      <c r="AC48" s="27"/>
      <c r="AD48" s="27"/>
      <c r="AE48" s="27"/>
      <c r="AF48" s="27"/>
      <c r="AG48" s="27"/>
      <c r="AH48" s="27"/>
      <c r="AI48" s="27"/>
      <c r="AJ48" s="27"/>
      <c r="AK48" s="27"/>
      <c r="AL48" s="27"/>
      <c r="AM48" s="27"/>
      <c r="AN48" s="27"/>
      <c r="AO48" s="27"/>
      <c r="AP48" s="27"/>
      <c r="AQ48" s="27"/>
      <c r="AR48" s="27"/>
      <c r="AS48" s="27"/>
      <c r="AT48" s="27"/>
      <c r="AU48" s="27"/>
      <c r="AV48" s="27"/>
      <c r="AW48" s="27"/>
      <c r="AX48" s="27"/>
      <c r="AY48" s="27"/>
      <c r="AZ48" s="27"/>
      <c r="BA48" s="27"/>
      <c r="BB48" s="27"/>
      <c r="BC48" s="27"/>
      <c r="BD48" s="27"/>
      <c r="BE48" s="27"/>
      <c r="BF48" s="27"/>
      <c r="BG48" s="27"/>
      <c r="BH48" s="27"/>
      <c r="BI48" s="27"/>
      <c r="BJ48" s="27"/>
      <c r="BK48" s="27"/>
      <c r="BL48" s="27"/>
      <c r="BM48" s="27"/>
      <c r="BN48" s="27"/>
      <c r="BO48" s="27"/>
      <c r="BP48" s="27"/>
      <c r="BQ48" s="27"/>
      <c r="BR48" s="27"/>
      <c r="BS48" s="27"/>
      <c r="BT48" s="27"/>
      <c r="BU48" s="27"/>
      <c r="BV48" s="27"/>
      <c r="BW48" s="27"/>
      <c r="BX48" s="27"/>
      <c r="BY48" s="27"/>
      <c r="BZ48" s="27"/>
      <c r="CA48" s="27"/>
      <c r="CB48" s="27"/>
      <c r="CC48" s="27"/>
      <c r="CL48" s="24"/>
      <c r="CM48" s="26"/>
      <c r="CN48" s="26"/>
      <c r="CO48" s="26"/>
      <c r="CP48" s="26"/>
      <c r="CQ48" s="26"/>
      <c r="CR48" s="26"/>
      <c r="CS48" s="26"/>
      <c r="CT48" s="26"/>
      <c r="CU48" s="26"/>
      <c r="CV48" s="26"/>
      <c r="CW48" s="26"/>
      <c r="CX48" s="26"/>
      <c r="CY48" s="26"/>
      <c r="CZ48" s="24"/>
      <c r="DA48" s="24"/>
      <c r="DB48" s="24"/>
      <c r="DC48" s="24"/>
      <c r="DD48" s="24"/>
      <c r="DE48" s="24"/>
      <c r="DF48" s="24"/>
    </row>
    <row r="49" spans="5:110" x14ac:dyDescent="0.3">
      <c r="E49" s="27"/>
      <c r="F49" s="27"/>
      <c r="G49" s="27"/>
      <c r="H49" s="27"/>
      <c r="I49" s="27"/>
      <c r="J49" s="27"/>
      <c r="K49" s="27"/>
      <c r="L49" s="27"/>
      <c r="M49" s="27"/>
      <c r="N49" s="27"/>
      <c r="O49" s="27"/>
      <c r="P49" s="27"/>
      <c r="Q49" s="27"/>
      <c r="R49" s="27"/>
      <c r="S49" s="27"/>
      <c r="T49" s="27"/>
      <c r="U49" s="27"/>
      <c r="V49" s="27"/>
      <c r="W49" s="27"/>
      <c r="X49" s="27"/>
      <c r="Y49" s="27"/>
      <c r="Z49" s="27"/>
      <c r="AA49" s="27"/>
      <c r="AB49" s="27"/>
      <c r="AC49" s="27"/>
      <c r="AD49" s="27"/>
      <c r="AE49" s="27"/>
      <c r="AF49" s="27"/>
      <c r="AG49" s="27"/>
      <c r="AH49" s="27"/>
      <c r="AI49" s="27"/>
      <c r="AJ49" s="27"/>
      <c r="AK49" s="27"/>
      <c r="AL49" s="27"/>
      <c r="AM49" s="27"/>
      <c r="AN49" s="27"/>
      <c r="AO49" s="27"/>
      <c r="AP49" s="27"/>
      <c r="AQ49" s="27"/>
      <c r="AR49" s="27"/>
      <c r="AS49" s="27"/>
      <c r="AT49" s="27"/>
      <c r="AU49" s="27"/>
      <c r="AV49" s="27"/>
      <c r="AW49" s="27"/>
      <c r="AX49" s="27"/>
      <c r="AY49" s="27"/>
      <c r="AZ49" s="27"/>
      <c r="BA49" s="27"/>
      <c r="BB49" s="27"/>
      <c r="BC49" s="27"/>
      <c r="BD49" s="27"/>
      <c r="BE49" s="27"/>
      <c r="BF49" s="27"/>
      <c r="BG49" s="27"/>
      <c r="BH49" s="27"/>
      <c r="BI49" s="27"/>
      <c r="BJ49" s="27"/>
      <c r="BK49" s="27"/>
      <c r="BL49" s="27"/>
      <c r="BM49" s="27"/>
      <c r="BN49" s="27"/>
      <c r="BO49" s="27"/>
      <c r="BP49" s="27"/>
      <c r="BQ49" s="27"/>
      <c r="BR49" s="27"/>
      <c r="BS49" s="27"/>
      <c r="BT49" s="27"/>
      <c r="BU49" s="27"/>
      <c r="BV49" s="27"/>
      <c r="BW49" s="27"/>
      <c r="BX49" s="27"/>
      <c r="BY49" s="27"/>
      <c r="BZ49" s="27"/>
      <c r="CA49" s="27"/>
      <c r="CB49" s="27"/>
      <c r="CC49" s="27"/>
      <c r="CL49" s="24"/>
      <c r="CM49" s="26"/>
      <c r="CN49" s="26"/>
      <c r="CO49" s="26"/>
      <c r="CP49" s="26"/>
      <c r="CQ49" s="26"/>
      <c r="CR49" s="26"/>
      <c r="CS49" s="26"/>
      <c r="CT49" s="26"/>
      <c r="CU49" s="26"/>
      <c r="CV49" s="26"/>
      <c r="CW49" s="26"/>
      <c r="CX49" s="26"/>
      <c r="CY49" s="26"/>
      <c r="CZ49" s="24"/>
      <c r="DA49" s="24"/>
      <c r="DB49" s="24"/>
      <c r="DC49" s="24"/>
      <c r="DD49" s="24"/>
      <c r="DE49" s="24"/>
      <c r="DF49" s="24"/>
    </row>
    <row r="50" spans="5:110" x14ac:dyDescent="0.3">
      <c r="E50" s="27"/>
      <c r="F50" s="27"/>
      <c r="G50" s="27"/>
      <c r="H50" s="27"/>
      <c r="I50" s="27"/>
      <c r="J50" s="27"/>
      <c r="K50" s="27"/>
      <c r="L50" s="27"/>
      <c r="M50" s="27"/>
      <c r="N50" s="27"/>
      <c r="O50" s="27"/>
      <c r="P50" s="27"/>
      <c r="Q50" s="27"/>
      <c r="R50" s="27"/>
      <c r="S50" s="27"/>
      <c r="T50" s="27"/>
      <c r="U50" s="27"/>
      <c r="V50" s="27"/>
      <c r="W50" s="27"/>
      <c r="X50" s="27"/>
      <c r="Y50" s="27"/>
      <c r="Z50" s="27"/>
      <c r="AA50" s="27"/>
      <c r="AB50" s="27"/>
      <c r="AC50" s="27"/>
      <c r="AD50" s="27"/>
      <c r="AE50" s="27"/>
      <c r="AF50" s="27"/>
      <c r="AG50" s="27"/>
      <c r="AH50" s="27"/>
      <c r="AI50" s="27"/>
      <c r="AJ50" s="27"/>
      <c r="AK50" s="27"/>
      <c r="AL50" s="27"/>
      <c r="AM50" s="27"/>
      <c r="AN50" s="27"/>
      <c r="AO50" s="27"/>
      <c r="AP50" s="27"/>
      <c r="AQ50" s="27"/>
      <c r="AR50" s="27"/>
      <c r="AS50" s="27"/>
      <c r="AT50" s="27"/>
      <c r="AU50" s="27"/>
      <c r="AV50" s="27"/>
      <c r="AW50" s="27"/>
      <c r="AX50" s="27"/>
      <c r="AY50" s="27"/>
      <c r="AZ50" s="27"/>
      <c r="BA50" s="27"/>
      <c r="BB50" s="27"/>
      <c r="BC50" s="27"/>
      <c r="BD50" s="27"/>
      <c r="BE50" s="27"/>
      <c r="BF50" s="27"/>
      <c r="BG50" s="27"/>
      <c r="BH50" s="27"/>
      <c r="BI50" s="27"/>
      <c r="BJ50" s="27"/>
      <c r="BK50" s="27"/>
      <c r="BL50" s="27"/>
      <c r="BM50" s="27"/>
      <c r="BN50" s="27"/>
      <c r="BO50" s="27"/>
      <c r="BP50" s="27"/>
      <c r="BQ50" s="27"/>
      <c r="BR50" s="27"/>
      <c r="BS50" s="27"/>
      <c r="BT50" s="27"/>
      <c r="BU50" s="27"/>
      <c r="BV50" s="27"/>
      <c r="BW50" s="27"/>
      <c r="BX50" s="27"/>
      <c r="BY50" s="27"/>
      <c r="BZ50" s="27"/>
      <c r="CA50" s="27"/>
      <c r="CB50" s="27"/>
      <c r="CC50" s="27"/>
      <c r="CL50" s="24"/>
      <c r="CM50" s="26"/>
      <c r="CN50" s="26"/>
      <c r="CO50" s="26"/>
      <c r="CP50" s="26"/>
      <c r="CQ50" s="26"/>
      <c r="CR50" s="26"/>
      <c r="CS50" s="26"/>
      <c r="CT50" s="26"/>
      <c r="CU50" s="26"/>
      <c r="CV50" s="26"/>
      <c r="CW50" s="26"/>
      <c r="CX50" s="26"/>
      <c r="CY50" s="26"/>
      <c r="CZ50" s="24"/>
      <c r="DA50" s="24"/>
      <c r="DB50" s="24"/>
      <c r="DC50" s="24"/>
      <c r="DD50" s="24"/>
      <c r="DE50" s="24"/>
      <c r="DF50" s="24"/>
    </row>
    <row r="51" spans="5:110" x14ac:dyDescent="0.3">
      <c r="E51" s="27"/>
      <c r="F51" s="27"/>
      <c r="G51" s="27"/>
      <c r="H51" s="27"/>
      <c r="I51" s="27"/>
      <c r="J51" s="27"/>
      <c r="K51" s="27"/>
      <c r="L51" s="27"/>
      <c r="M51" s="27"/>
      <c r="N51" s="27"/>
      <c r="O51" s="27"/>
      <c r="P51" s="27"/>
      <c r="Q51" s="27"/>
      <c r="R51" s="27"/>
      <c r="S51" s="27"/>
      <c r="T51" s="27"/>
      <c r="U51" s="27"/>
      <c r="V51" s="27"/>
      <c r="W51" s="27"/>
      <c r="X51" s="27"/>
      <c r="Y51" s="27"/>
      <c r="Z51" s="27"/>
      <c r="AA51" s="27"/>
      <c r="AB51" s="27"/>
      <c r="AC51" s="27"/>
      <c r="AD51" s="27"/>
      <c r="AE51" s="27"/>
      <c r="AF51" s="27"/>
      <c r="AG51" s="27"/>
      <c r="AH51" s="27"/>
      <c r="AI51" s="27"/>
      <c r="AJ51" s="27"/>
      <c r="AK51" s="27"/>
      <c r="AL51" s="27"/>
      <c r="AM51" s="27"/>
      <c r="AN51" s="27"/>
      <c r="AO51" s="27"/>
      <c r="AP51" s="27"/>
      <c r="AQ51" s="27"/>
      <c r="AR51" s="27"/>
      <c r="AS51" s="27"/>
      <c r="AT51" s="27"/>
      <c r="AU51" s="27"/>
      <c r="AV51" s="27"/>
      <c r="AW51" s="27"/>
      <c r="AX51" s="27"/>
      <c r="AY51" s="27"/>
      <c r="AZ51" s="27"/>
      <c r="BA51" s="27"/>
      <c r="BB51" s="27"/>
      <c r="BC51" s="27"/>
      <c r="BD51" s="27"/>
      <c r="BE51" s="27"/>
      <c r="BF51" s="27"/>
      <c r="BG51" s="27"/>
      <c r="BH51" s="27"/>
      <c r="BI51" s="27"/>
      <c r="BJ51" s="27"/>
      <c r="BK51" s="27"/>
      <c r="BL51" s="27"/>
      <c r="BM51" s="27"/>
      <c r="BN51" s="27"/>
      <c r="BO51" s="27"/>
      <c r="BP51" s="27"/>
      <c r="BQ51" s="27"/>
      <c r="BR51" s="27"/>
      <c r="BS51" s="27"/>
      <c r="BT51" s="27"/>
      <c r="BU51" s="27"/>
      <c r="BV51" s="27"/>
      <c r="BW51" s="27"/>
      <c r="BX51" s="27"/>
      <c r="BY51" s="27"/>
      <c r="BZ51" s="27"/>
      <c r="CA51" s="27"/>
      <c r="CB51" s="27"/>
      <c r="CC51" s="27"/>
      <c r="CL51" s="24"/>
      <c r="CM51" s="26"/>
      <c r="CN51" s="26"/>
      <c r="CO51" s="26"/>
      <c r="CP51" s="26"/>
      <c r="CQ51" s="26"/>
      <c r="CR51" s="26"/>
      <c r="CS51" s="26"/>
      <c r="CT51" s="26"/>
      <c r="CU51" s="26"/>
      <c r="CV51" s="26"/>
      <c r="CW51" s="26"/>
      <c r="CX51" s="26"/>
      <c r="CY51" s="26"/>
      <c r="CZ51" s="24"/>
      <c r="DA51" s="24"/>
      <c r="DB51" s="24"/>
      <c r="DC51" s="24"/>
      <c r="DD51" s="24"/>
      <c r="DE51" s="24"/>
      <c r="DF51" s="24"/>
    </row>
    <row r="52" spans="5:110" x14ac:dyDescent="0.3">
      <c r="E52" s="27"/>
      <c r="F52" s="27"/>
      <c r="G52" s="27"/>
      <c r="H52" s="27"/>
      <c r="I52" s="27"/>
      <c r="J52" s="27"/>
      <c r="K52" s="27"/>
      <c r="L52" s="27"/>
      <c r="M52" s="27"/>
      <c r="N52" s="27"/>
      <c r="O52" s="27"/>
      <c r="P52" s="27"/>
      <c r="Q52" s="27"/>
      <c r="R52" s="27"/>
      <c r="S52" s="27"/>
      <c r="T52" s="27"/>
      <c r="U52" s="27"/>
      <c r="V52" s="27"/>
      <c r="W52" s="27"/>
      <c r="X52" s="27"/>
      <c r="Y52" s="27"/>
      <c r="Z52" s="27"/>
      <c r="AA52" s="27"/>
      <c r="AB52" s="27"/>
      <c r="AC52" s="27"/>
      <c r="AD52" s="27"/>
      <c r="AE52" s="27"/>
      <c r="AF52" s="27"/>
      <c r="AG52" s="27"/>
      <c r="AH52" s="27"/>
      <c r="AI52" s="27"/>
      <c r="AJ52" s="27"/>
      <c r="AK52" s="27"/>
      <c r="AL52" s="27"/>
      <c r="AM52" s="27"/>
      <c r="AN52" s="27"/>
      <c r="AO52" s="27"/>
      <c r="AP52" s="27"/>
      <c r="AQ52" s="27"/>
      <c r="AR52" s="27"/>
      <c r="AS52" s="27"/>
      <c r="AT52" s="27"/>
      <c r="AU52" s="27"/>
      <c r="AV52" s="27"/>
      <c r="AW52" s="27"/>
      <c r="AX52" s="27"/>
      <c r="AY52" s="27"/>
      <c r="AZ52" s="27"/>
      <c r="BA52" s="27"/>
      <c r="BB52" s="27"/>
      <c r="BC52" s="27"/>
      <c r="BD52" s="27"/>
      <c r="BE52" s="27"/>
      <c r="BF52" s="27"/>
      <c r="BG52" s="27"/>
      <c r="BH52" s="27"/>
      <c r="BI52" s="27"/>
      <c r="BJ52" s="27"/>
      <c r="BK52" s="27"/>
      <c r="BL52" s="27"/>
      <c r="BM52" s="27"/>
      <c r="BN52" s="27"/>
      <c r="BO52" s="27"/>
      <c r="BP52" s="27"/>
      <c r="BQ52" s="27"/>
      <c r="BR52" s="27"/>
      <c r="BS52" s="27"/>
      <c r="BT52" s="27"/>
      <c r="BU52" s="27"/>
      <c r="BV52" s="27"/>
      <c r="BW52" s="27"/>
      <c r="BX52" s="27"/>
      <c r="BY52" s="27"/>
      <c r="BZ52" s="27"/>
      <c r="CA52" s="27"/>
      <c r="CB52" s="27"/>
      <c r="CC52" s="27"/>
      <c r="CL52" s="24"/>
      <c r="CM52" s="26"/>
      <c r="CN52" s="26"/>
      <c r="CO52" s="26"/>
      <c r="CP52" s="26"/>
      <c r="CQ52" s="26"/>
      <c r="CR52" s="26"/>
      <c r="CS52" s="26"/>
      <c r="CT52" s="26"/>
      <c r="CU52" s="26"/>
      <c r="CV52" s="26"/>
      <c r="CW52" s="26"/>
      <c r="CX52" s="26"/>
      <c r="CY52" s="26"/>
      <c r="CZ52" s="24"/>
      <c r="DA52" s="24"/>
      <c r="DB52" s="24"/>
      <c r="DC52" s="24"/>
      <c r="DD52" s="24"/>
      <c r="DE52" s="24"/>
      <c r="DF52" s="24"/>
    </row>
    <row r="53" spans="5:110" x14ac:dyDescent="0.3">
      <c r="E53" s="27"/>
      <c r="F53" s="27"/>
      <c r="G53" s="27"/>
      <c r="H53" s="27"/>
      <c r="I53" s="27"/>
      <c r="J53" s="27"/>
      <c r="K53" s="27"/>
      <c r="L53" s="27"/>
      <c r="M53" s="27"/>
      <c r="N53" s="27"/>
      <c r="O53" s="27"/>
      <c r="P53" s="27"/>
      <c r="Q53" s="27"/>
      <c r="R53" s="27"/>
      <c r="S53" s="27"/>
      <c r="T53" s="27"/>
      <c r="U53" s="27"/>
      <c r="V53" s="27"/>
      <c r="W53" s="27"/>
      <c r="X53" s="27"/>
      <c r="Y53" s="27"/>
      <c r="Z53" s="27"/>
      <c r="AA53" s="27"/>
      <c r="AB53" s="27"/>
      <c r="AC53" s="27"/>
      <c r="AD53" s="27"/>
      <c r="AE53" s="27"/>
      <c r="AF53" s="27"/>
      <c r="AG53" s="27"/>
      <c r="AH53" s="27"/>
      <c r="AI53" s="27"/>
      <c r="AJ53" s="27"/>
      <c r="AK53" s="27"/>
      <c r="AL53" s="27"/>
      <c r="AM53" s="27"/>
      <c r="AN53" s="27"/>
      <c r="AO53" s="27"/>
      <c r="AP53" s="27"/>
      <c r="AQ53" s="27"/>
      <c r="AR53" s="27"/>
      <c r="AS53" s="27"/>
      <c r="AT53" s="27"/>
      <c r="AU53" s="27"/>
      <c r="AV53" s="27"/>
      <c r="AW53" s="27"/>
      <c r="AX53" s="27"/>
      <c r="AY53" s="27"/>
      <c r="AZ53" s="27"/>
      <c r="BA53" s="27"/>
      <c r="BB53" s="27"/>
      <c r="BC53" s="27"/>
      <c r="BD53" s="27"/>
      <c r="BE53" s="27"/>
      <c r="BF53" s="27"/>
      <c r="BG53" s="27"/>
      <c r="BH53" s="27"/>
      <c r="BI53" s="27"/>
      <c r="BJ53" s="27"/>
      <c r="BK53" s="27"/>
      <c r="BL53" s="27"/>
      <c r="BM53" s="27"/>
      <c r="BN53" s="27"/>
      <c r="BO53" s="27"/>
      <c r="BP53" s="27"/>
      <c r="BQ53" s="27"/>
      <c r="BR53" s="27"/>
      <c r="BS53" s="27"/>
      <c r="BT53" s="27"/>
      <c r="BU53" s="27"/>
      <c r="BV53" s="27"/>
      <c r="BW53" s="27"/>
      <c r="BX53" s="27"/>
      <c r="BY53" s="27"/>
      <c r="BZ53" s="27"/>
      <c r="CA53" s="27"/>
      <c r="CB53" s="27"/>
      <c r="CC53" s="27"/>
      <c r="CL53" s="24"/>
      <c r="CM53" s="26"/>
      <c r="CN53" s="26"/>
      <c r="CO53" s="26"/>
      <c r="CP53" s="26"/>
      <c r="CQ53" s="26"/>
      <c r="CR53" s="26"/>
      <c r="CS53" s="26"/>
      <c r="CT53" s="26"/>
      <c r="CU53" s="26"/>
      <c r="CV53" s="26"/>
      <c r="CW53" s="26"/>
      <c r="CX53" s="26"/>
      <c r="CY53" s="26"/>
      <c r="CZ53" s="24"/>
      <c r="DA53" s="24"/>
      <c r="DB53" s="24"/>
      <c r="DC53" s="24"/>
      <c r="DD53" s="24"/>
      <c r="DE53" s="24"/>
      <c r="DF53" s="24"/>
    </row>
    <row r="54" spans="5:110" x14ac:dyDescent="0.3">
      <c r="E54" s="27"/>
      <c r="F54" s="27"/>
      <c r="G54" s="27"/>
      <c r="H54" s="27"/>
      <c r="I54" s="27"/>
      <c r="J54" s="27"/>
      <c r="K54" s="27"/>
      <c r="L54" s="27"/>
      <c r="M54" s="27"/>
      <c r="N54" s="27"/>
      <c r="O54" s="27"/>
      <c r="P54" s="27"/>
      <c r="Q54" s="27"/>
      <c r="R54" s="27"/>
      <c r="S54" s="27"/>
      <c r="T54" s="27"/>
      <c r="U54" s="27"/>
      <c r="V54" s="27"/>
      <c r="W54" s="27"/>
      <c r="X54" s="27"/>
      <c r="Y54" s="27"/>
      <c r="Z54" s="27"/>
      <c r="AA54" s="27"/>
      <c r="AB54" s="27"/>
      <c r="AC54" s="27"/>
      <c r="AD54" s="27"/>
      <c r="AE54" s="27"/>
      <c r="AF54" s="27"/>
      <c r="AG54" s="27"/>
      <c r="AH54" s="27"/>
      <c r="AI54" s="27"/>
      <c r="AJ54" s="27"/>
      <c r="AK54" s="27"/>
      <c r="AL54" s="27"/>
      <c r="AM54" s="27"/>
      <c r="AN54" s="27"/>
      <c r="AO54" s="27"/>
      <c r="AP54" s="27"/>
      <c r="AQ54" s="27"/>
      <c r="AR54" s="27"/>
      <c r="AS54" s="27"/>
      <c r="AT54" s="27"/>
      <c r="AU54" s="27"/>
      <c r="AV54" s="27"/>
      <c r="AW54" s="27"/>
      <c r="AX54" s="27"/>
      <c r="AY54" s="27"/>
      <c r="AZ54" s="27"/>
      <c r="BA54" s="27"/>
      <c r="BB54" s="27"/>
      <c r="BC54" s="27"/>
      <c r="BD54" s="27"/>
      <c r="BE54" s="27"/>
      <c r="BF54" s="27"/>
      <c r="BG54" s="27"/>
      <c r="BH54" s="27"/>
      <c r="BI54" s="27"/>
      <c r="BJ54" s="27"/>
      <c r="BK54" s="27"/>
      <c r="BL54" s="27"/>
      <c r="BM54" s="27"/>
      <c r="BN54" s="27"/>
      <c r="BO54" s="27"/>
      <c r="BP54" s="27"/>
      <c r="BQ54" s="27"/>
      <c r="BR54" s="27"/>
      <c r="BS54" s="27"/>
      <c r="BT54" s="27"/>
      <c r="BU54" s="27"/>
      <c r="BV54" s="27"/>
      <c r="BW54" s="27"/>
      <c r="BX54" s="27"/>
      <c r="BY54" s="27"/>
      <c r="BZ54" s="27"/>
      <c r="CA54" s="27"/>
      <c r="CB54" s="27"/>
      <c r="CC54" s="27"/>
      <c r="CL54" s="24"/>
      <c r="CM54" s="26"/>
      <c r="CN54" s="26"/>
      <c r="CO54" s="26"/>
      <c r="CP54" s="26"/>
      <c r="CQ54" s="26"/>
      <c r="CR54" s="26"/>
      <c r="CS54" s="26"/>
      <c r="CT54" s="26"/>
      <c r="CU54" s="26"/>
      <c r="CV54" s="26"/>
      <c r="CW54" s="26"/>
      <c r="CX54" s="26"/>
      <c r="CY54" s="26"/>
      <c r="CZ54" s="24"/>
      <c r="DA54" s="24"/>
      <c r="DB54" s="24"/>
      <c r="DC54" s="24"/>
      <c r="DD54" s="24"/>
      <c r="DE54" s="24"/>
      <c r="DF54" s="24"/>
    </row>
    <row r="55" spans="5:110" x14ac:dyDescent="0.3">
      <c r="E55" s="27"/>
      <c r="F55" s="27"/>
      <c r="G55" s="27"/>
      <c r="H55" s="27"/>
      <c r="I55" s="27"/>
      <c r="J55" s="27"/>
      <c r="K55" s="27"/>
      <c r="L55" s="27"/>
      <c r="M55" s="27"/>
      <c r="N55" s="27"/>
      <c r="O55" s="27"/>
      <c r="P55" s="27"/>
      <c r="Q55" s="27"/>
      <c r="R55" s="27"/>
      <c r="S55" s="27"/>
      <c r="T55" s="27"/>
      <c r="U55" s="27"/>
      <c r="V55" s="27"/>
      <c r="W55" s="27"/>
      <c r="X55" s="27"/>
      <c r="Y55" s="27"/>
      <c r="Z55" s="27"/>
      <c r="AA55" s="27"/>
      <c r="AB55" s="27"/>
      <c r="AC55" s="27"/>
      <c r="AD55" s="27"/>
      <c r="AE55" s="27"/>
      <c r="AF55" s="27"/>
      <c r="AG55" s="27"/>
      <c r="AH55" s="27"/>
      <c r="AI55" s="27"/>
      <c r="AJ55" s="27"/>
      <c r="AK55" s="27"/>
      <c r="AL55" s="27"/>
      <c r="AM55" s="27"/>
      <c r="AN55" s="27"/>
      <c r="AO55" s="27"/>
      <c r="AP55" s="27"/>
      <c r="AQ55" s="27"/>
      <c r="AR55" s="27"/>
      <c r="AS55" s="27"/>
      <c r="AT55" s="27"/>
      <c r="AU55" s="27"/>
      <c r="AV55" s="27"/>
      <c r="AW55" s="27"/>
      <c r="AX55" s="27"/>
      <c r="AY55" s="27"/>
      <c r="AZ55" s="27"/>
      <c r="BA55" s="27"/>
      <c r="BB55" s="27"/>
      <c r="BC55" s="27"/>
      <c r="BD55" s="27"/>
      <c r="BE55" s="27"/>
      <c r="BF55" s="27"/>
      <c r="BG55" s="27"/>
      <c r="BH55" s="27"/>
      <c r="BI55" s="27"/>
      <c r="BJ55" s="27"/>
      <c r="BK55" s="27"/>
      <c r="BL55" s="27"/>
      <c r="BM55" s="27"/>
      <c r="BN55" s="27"/>
      <c r="BO55" s="27"/>
      <c r="BP55" s="27"/>
      <c r="BQ55" s="27"/>
      <c r="BR55" s="27"/>
      <c r="BS55" s="27"/>
      <c r="BT55" s="27"/>
      <c r="BU55" s="27"/>
      <c r="BV55" s="27"/>
      <c r="BW55" s="27"/>
      <c r="BX55" s="27"/>
      <c r="BY55" s="27"/>
      <c r="BZ55" s="27"/>
      <c r="CA55" s="27"/>
      <c r="CB55" s="27"/>
      <c r="CC55" s="27"/>
      <c r="CL55" s="24"/>
      <c r="CM55" s="24"/>
      <c r="CN55" s="24"/>
      <c r="CO55" s="24"/>
      <c r="CP55" s="24"/>
      <c r="CQ55" s="24"/>
      <c r="CR55" s="24"/>
      <c r="CS55" s="24"/>
      <c r="CT55" s="24"/>
      <c r="CU55" s="24"/>
      <c r="CV55" s="24"/>
      <c r="CW55" s="24"/>
      <c r="CX55" s="24"/>
      <c r="CY55" s="24"/>
      <c r="CZ55" s="24"/>
      <c r="DA55" s="24"/>
      <c r="DB55" s="24"/>
      <c r="DC55" s="24"/>
      <c r="DD55" s="24"/>
      <c r="DE55" s="24"/>
      <c r="DF55" s="24"/>
    </row>
    <row r="56" spans="5:110" x14ac:dyDescent="0.3">
      <c r="E56" s="27"/>
      <c r="F56" s="27"/>
      <c r="G56" s="27"/>
      <c r="H56" s="27"/>
      <c r="I56" s="27"/>
      <c r="J56" s="27"/>
      <c r="K56" s="27"/>
      <c r="L56" s="27"/>
      <c r="M56" s="27"/>
      <c r="N56" s="27"/>
      <c r="O56" s="27"/>
      <c r="P56" s="27"/>
      <c r="Q56" s="27"/>
      <c r="R56" s="27"/>
      <c r="S56" s="27"/>
      <c r="T56" s="27"/>
      <c r="U56" s="27"/>
      <c r="V56" s="27"/>
      <c r="W56" s="27"/>
      <c r="X56" s="27"/>
      <c r="Y56" s="27"/>
      <c r="Z56" s="27"/>
      <c r="AA56" s="27"/>
      <c r="AB56" s="27"/>
      <c r="AC56" s="27"/>
      <c r="AD56" s="27"/>
      <c r="AE56" s="27"/>
      <c r="AF56" s="27"/>
      <c r="AG56" s="27"/>
      <c r="AH56" s="27"/>
      <c r="AI56" s="27"/>
      <c r="AJ56" s="27"/>
      <c r="AK56" s="27"/>
      <c r="AL56" s="27"/>
      <c r="AM56" s="27"/>
      <c r="AN56" s="27"/>
      <c r="AO56" s="27"/>
      <c r="AP56" s="27"/>
      <c r="AQ56" s="27"/>
      <c r="AR56" s="27"/>
      <c r="AS56" s="27"/>
      <c r="AT56" s="27"/>
      <c r="AU56" s="27"/>
      <c r="AV56" s="27"/>
      <c r="AW56" s="27"/>
      <c r="AX56" s="27"/>
      <c r="AY56" s="27"/>
      <c r="AZ56" s="27"/>
      <c r="BA56" s="27"/>
      <c r="BB56" s="27"/>
      <c r="BC56" s="27"/>
      <c r="BD56" s="27"/>
      <c r="BE56" s="27"/>
      <c r="BF56" s="27"/>
      <c r="BG56" s="27"/>
      <c r="BH56" s="27"/>
      <c r="BI56" s="27"/>
      <c r="BJ56" s="27"/>
      <c r="BK56" s="27"/>
      <c r="BL56" s="27"/>
      <c r="BM56" s="27"/>
      <c r="BN56" s="27"/>
      <c r="BO56" s="27"/>
      <c r="BP56" s="27"/>
      <c r="BQ56" s="27"/>
      <c r="BR56" s="27"/>
      <c r="BS56" s="27"/>
      <c r="BT56" s="27"/>
      <c r="BU56" s="27"/>
      <c r="BV56" s="27"/>
      <c r="BW56" s="27"/>
      <c r="BX56" s="27"/>
      <c r="BY56" s="27"/>
      <c r="BZ56" s="27"/>
      <c r="CA56" s="27"/>
      <c r="CB56" s="27"/>
      <c r="CC56" s="27"/>
      <c r="CL56" s="24"/>
      <c r="CM56" s="24"/>
      <c r="CN56" s="24"/>
      <c r="CO56" s="24"/>
      <c r="CP56" s="24"/>
      <c r="CQ56" s="24"/>
      <c r="CR56" s="24"/>
      <c r="CS56" s="24"/>
      <c r="CT56" s="24"/>
      <c r="CU56" s="24"/>
      <c r="CV56" s="24"/>
      <c r="CW56" s="24"/>
      <c r="CX56" s="24"/>
      <c r="CY56" s="24"/>
      <c r="CZ56" s="24"/>
      <c r="DA56" s="24"/>
      <c r="DB56" s="24"/>
      <c r="DC56" s="24"/>
      <c r="DD56" s="24"/>
      <c r="DE56" s="24"/>
      <c r="DF56" s="24"/>
    </row>
    <row r="57" spans="5:110" x14ac:dyDescent="0.3">
      <c r="E57" s="27"/>
      <c r="F57" s="27"/>
      <c r="G57" s="27"/>
      <c r="H57" s="27"/>
      <c r="I57" s="27"/>
      <c r="J57" s="27"/>
      <c r="K57" s="27"/>
      <c r="L57" s="27"/>
      <c r="M57" s="27"/>
      <c r="N57" s="27"/>
      <c r="O57" s="27"/>
      <c r="P57" s="27"/>
      <c r="Q57" s="27"/>
      <c r="R57" s="27"/>
      <c r="S57" s="27"/>
      <c r="T57" s="27"/>
      <c r="U57" s="27"/>
      <c r="V57" s="27"/>
      <c r="W57" s="27"/>
      <c r="X57" s="27"/>
      <c r="Y57" s="27"/>
      <c r="Z57" s="27"/>
      <c r="AA57" s="27"/>
      <c r="AB57" s="27"/>
      <c r="AC57" s="27"/>
      <c r="AD57" s="27"/>
      <c r="AE57" s="27"/>
      <c r="AF57" s="27"/>
      <c r="AG57" s="27"/>
      <c r="AH57" s="27"/>
      <c r="AI57" s="27"/>
      <c r="AJ57" s="27"/>
      <c r="AK57" s="27"/>
      <c r="AL57" s="27"/>
      <c r="AM57" s="27"/>
      <c r="AN57" s="27"/>
      <c r="AO57" s="27"/>
      <c r="AP57" s="27"/>
      <c r="AQ57" s="27"/>
      <c r="AR57" s="27"/>
      <c r="AS57" s="27"/>
      <c r="AT57" s="27"/>
      <c r="AU57" s="27"/>
      <c r="AV57" s="27"/>
      <c r="AW57" s="27"/>
      <c r="AX57" s="27"/>
      <c r="AY57" s="27"/>
      <c r="AZ57" s="27"/>
      <c r="BA57" s="27"/>
      <c r="BB57" s="27"/>
      <c r="BC57" s="27"/>
      <c r="BD57" s="27"/>
      <c r="BE57" s="27"/>
      <c r="BF57" s="27"/>
      <c r="BG57" s="27"/>
      <c r="BH57" s="27"/>
      <c r="BI57" s="27"/>
      <c r="BJ57" s="27"/>
      <c r="BK57" s="27"/>
      <c r="BL57" s="27"/>
      <c r="BM57" s="27"/>
      <c r="BN57" s="27"/>
      <c r="BO57" s="27"/>
      <c r="BP57" s="27"/>
      <c r="BQ57" s="27"/>
      <c r="BR57" s="27"/>
      <c r="BS57" s="27"/>
      <c r="BT57" s="27"/>
      <c r="BU57" s="27"/>
      <c r="BV57" s="27"/>
      <c r="BW57" s="27"/>
      <c r="BX57" s="27"/>
      <c r="BY57" s="27"/>
      <c r="BZ57" s="27"/>
      <c r="CA57" s="27"/>
      <c r="CB57" s="27"/>
      <c r="CC57" s="27"/>
      <c r="CL57" s="24"/>
      <c r="CM57" s="24"/>
      <c r="CN57" s="24"/>
      <c r="CO57" s="24"/>
      <c r="CP57" s="24"/>
      <c r="CQ57" s="24"/>
      <c r="CR57" s="24"/>
      <c r="CS57" s="24"/>
      <c r="CT57" s="24"/>
      <c r="CU57" s="24"/>
      <c r="CV57" s="24"/>
      <c r="CW57" s="24"/>
      <c r="CX57" s="24"/>
      <c r="CY57" s="24"/>
      <c r="CZ57" s="24"/>
      <c r="DA57" s="24"/>
      <c r="DB57" s="24"/>
      <c r="DC57" s="24"/>
      <c r="DD57" s="24"/>
      <c r="DE57" s="24"/>
      <c r="DF57" s="24"/>
    </row>
    <row r="58" spans="5:110" x14ac:dyDescent="0.3">
      <c r="E58" s="27"/>
      <c r="F58" s="27"/>
      <c r="G58" s="27"/>
      <c r="H58" s="27"/>
      <c r="I58" s="27"/>
      <c r="J58" s="27"/>
      <c r="K58" s="27"/>
      <c r="L58" s="27"/>
      <c r="M58" s="27"/>
      <c r="N58" s="27"/>
      <c r="O58" s="27"/>
      <c r="P58" s="27"/>
      <c r="Q58" s="27"/>
      <c r="R58" s="27"/>
      <c r="S58" s="27"/>
      <c r="T58" s="27"/>
      <c r="U58" s="27"/>
      <c r="V58" s="27"/>
      <c r="W58" s="27"/>
      <c r="X58" s="27"/>
      <c r="Y58" s="27"/>
      <c r="Z58" s="27"/>
      <c r="AA58" s="27"/>
      <c r="AB58" s="27"/>
      <c r="AC58" s="27"/>
      <c r="AD58" s="27"/>
      <c r="AE58" s="27"/>
      <c r="AF58" s="27"/>
      <c r="AG58" s="27"/>
      <c r="AH58" s="27"/>
      <c r="AI58" s="27"/>
      <c r="AJ58" s="27"/>
      <c r="AK58" s="27"/>
      <c r="AL58" s="27"/>
      <c r="AM58" s="27"/>
      <c r="AN58" s="27"/>
      <c r="AO58" s="27"/>
      <c r="AP58" s="27"/>
      <c r="AQ58" s="27"/>
      <c r="AR58" s="27"/>
      <c r="AS58" s="27"/>
      <c r="AT58" s="27"/>
      <c r="AU58" s="27"/>
      <c r="AV58" s="27"/>
      <c r="AW58" s="27"/>
      <c r="AX58" s="27"/>
      <c r="AY58" s="27"/>
      <c r="AZ58" s="27"/>
      <c r="BA58" s="27"/>
      <c r="BB58" s="27"/>
      <c r="BC58" s="27"/>
      <c r="BD58" s="27"/>
      <c r="BE58" s="27"/>
      <c r="BF58" s="27"/>
      <c r="BG58" s="27"/>
      <c r="BH58" s="27"/>
      <c r="BI58" s="27"/>
      <c r="BJ58" s="27"/>
      <c r="BK58" s="27"/>
      <c r="BL58" s="27"/>
      <c r="BM58" s="27"/>
      <c r="BN58" s="27"/>
      <c r="BO58" s="27"/>
      <c r="BP58" s="27"/>
      <c r="BQ58" s="27"/>
      <c r="BR58" s="27"/>
      <c r="BS58" s="27"/>
      <c r="BT58" s="27"/>
      <c r="BU58" s="27"/>
      <c r="BV58" s="27"/>
      <c r="BW58" s="27"/>
      <c r="BX58" s="27"/>
      <c r="BY58" s="27"/>
      <c r="BZ58" s="27"/>
      <c r="CA58" s="27"/>
      <c r="CB58" s="27"/>
      <c r="CC58" s="27"/>
      <c r="CL58" s="24"/>
      <c r="CM58" s="24"/>
      <c r="CN58" s="24"/>
      <c r="CO58" s="24"/>
      <c r="CP58" s="24"/>
      <c r="CQ58" s="24"/>
      <c r="CR58" s="24"/>
      <c r="CS58" s="24"/>
      <c r="CT58" s="24"/>
      <c r="CU58" s="24"/>
      <c r="CV58" s="24"/>
      <c r="CW58" s="24"/>
      <c r="CX58" s="24"/>
      <c r="CY58" s="24"/>
      <c r="CZ58" s="24"/>
      <c r="DA58" s="24"/>
      <c r="DB58" s="24"/>
      <c r="DC58" s="24"/>
      <c r="DD58" s="24"/>
      <c r="DE58" s="24"/>
      <c r="DF58" s="24"/>
    </row>
    <row r="59" spans="5:110" x14ac:dyDescent="0.3">
      <c r="E59" s="27"/>
      <c r="F59" s="27"/>
      <c r="G59" s="27"/>
      <c r="H59" s="27"/>
      <c r="I59" s="27"/>
      <c r="J59" s="27"/>
      <c r="K59" s="27"/>
      <c r="L59" s="27"/>
      <c r="M59" s="27"/>
      <c r="N59" s="27"/>
      <c r="O59" s="27"/>
      <c r="P59" s="27"/>
      <c r="Q59" s="27"/>
      <c r="R59" s="27"/>
      <c r="S59" s="27"/>
      <c r="T59" s="27"/>
      <c r="U59" s="27"/>
      <c r="V59" s="27"/>
      <c r="W59" s="27"/>
      <c r="X59" s="27"/>
      <c r="Y59" s="27"/>
      <c r="Z59" s="27"/>
      <c r="AA59" s="27"/>
      <c r="AB59" s="27"/>
      <c r="AC59" s="27"/>
      <c r="AD59" s="27"/>
      <c r="AE59" s="27"/>
      <c r="AF59" s="27"/>
      <c r="AG59" s="27"/>
      <c r="AH59" s="27"/>
      <c r="AI59" s="27"/>
      <c r="AJ59" s="27"/>
      <c r="AK59" s="27"/>
      <c r="AL59" s="27"/>
      <c r="AM59" s="27"/>
      <c r="AN59" s="27"/>
      <c r="AO59" s="27"/>
      <c r="AP59" s="27"/>
      <c r="AQ59" s="27"/>
      <c r="AR59" s="27"/>
      <c r="AS59" s="27"/>
      <c r="AT59" s="27"/>
      <c r="AU59" s="27"/>
      <c r="AV59" s="27"/>
      <c r="AW59" s="27"/>
      <c r="AX59" s="27"/>
      <c r="AY59" s="27"/>
      <c r="AZ59" s="27"/>
      <c r="BA59" s="27"/>
      <c r="BB59" s="27"/>
      <c r="BC59" s="27"/>
      <c r="BD59" s="27"/>
      <c r="BE59" s="27"/>
      <c r="BF59" s="27"/>
      <c r="BG59" s="27"/>
      <c r="BH59" s="27"/>
      <c r="BI59" s="27"/>
      <c r="BJ59" s="27"/>
      <c r="BK59" s="27"/>
      <c r="BL59" s="27"/>
      <c r="BM59" s="27"/>
      <c r="BN59" s="27"/>
      <c r="BO59" s="27"/>
      <c r="BP59" s="27"/>
      <c r="BQ59" s="27"/>
      <c r="BR59" s="27"/>
      <c r="BS59" s="27"/>
      <c r="BT59" s="27"/>
      <c r="BU59" s="27"/>
      <c r="BV59" s="27"/>
      <c r="BW59" s="27"/>
      <c r="BX59" s="27"/>
      <c r="BY59" s="27"/>
      <c r="BZ59" s="27"/>
      <c r="CA59" s="27"/>
      <c r="CB59" s="27"/>
      <c r="CC59" s="27"/>
      <c r="CL59" s="24"/>
      <c r="CM59" s="24"/>
      <c r="CN59" s="24"/>
      <c r="CO59" s="24"/>
      <c r="CP59" s="24"/>
      <c r="CQ59" s="24"/>
      <c r="CR59" s="24"/>
      <c r="CS59" s="24"/>
      <c r="CT59" s="24"/>
      <c r="CU59" s="24"/>
      <c r="CV59" s="24"/>
      <c r="CW59" s="24"/>
      <c r="CX59" s="24"/>
      <c r="CY59" s="24"/>
      <c r="CZ59" s="24"/>
      <c r="DA59" s="24"/>
      <c r="DB59" s="24"/>
      <c r="DC59" s="24"/>
      <c r="DD59" s="24"/>
      <c r="DE59" s="24"/>
      <c r="DF59" s="24"/>
    </row>
    <row r="60" spans="5:110" x14ac:dyDescent="0.3">
      <c r="E60" s="27"/>
      <c r="F60" s="27"/>
      <c r="G60" s="27"/>
      <c r="H60" s="27"/>
      <c r="I60" s="27"/>
      <c r="J60" s="27"/>
      <c r="K60" s="27"/>
      <c r="L60" s="27"/>
      <c r="M60" s="27"/>
      <c r="N60" s="27"/>
      <c r="O60" s="27"/>
      <c r="P60" s="27"/>
      <c r="Q60" s="27"/>
      <c r="R60" s="27"/>
      <c r="S60" s="27"/>
      <c r="T60" s="27"/>
      <c r="U60" s="27"/>
      <c r="V60" s="27"/>
      <c r="W60" s="27"/>
      <c r="X60" s="27"/>
      <c r="Y60" s="27"/>
      <c r="Z60" s="27"/>
      <c r="AA60" s="27"/>
      <c r="AB60" s="27"/>
      <c r="AC60" s="27"/>
      <c r="AD60" s="27"/>
      <c r="AE60" s="27"/>
      <c r="AF60" s="27"/>
      <c r="AG60" s="27"/>
      <c r="AH60" s="27"/>
      <c r="AI60" s="27"/>
      <c r="AJ60" s="27"/>
      <c r="AK60" s="27"/>
      <c r="AL60" s="27"/>
      <c r="AM60" s="27"/>
      <c r="AN60" s="27"/>
      <c r="AO60" s="27"/>
      <c r="AP60" s="27"/>
      <c r="AQ60" s="27"/>
      <c r="AR60" s="27"/>
      <c r="AS60" s="27"/>
      <c r="AT60" s="27"/>
      <c r="AU60" s="27"/>
      <c r="AV60" s="27"/>
      <c r="AW60" s="27"/>
      <c r="AX60" s="27"/>
      <c r="AY60" s="27"/>
      <c r="AZ60" s="27"/>
      <c r="BA60" s="27"/>
      <c r="BB60" s="27"/>
      <c r="BC60" s="27"/>
      <c r="BD60" s="27"/>
      <c r="BE60" s="27"/>
      <c r="BF60" s="27"/>
      <c r="BG60" s="27"/>
      <c r="BH60" s="27"/>
      <c r="BI60" s="27"/>
      <c r="BJ60" s="27"/>
      <c r="BK60" s="27"/>
      <c r="BL60" s="27"/>
      <c r="BM60" s="27"/>
      <c r="BN60" s="27"/>
      <c r="BO60" s="27"/>
      <c r="BP60" s="27"/>
      <c r="BQ60" s="27"/>
      <c r="BR60" s="27"/>
      <c r="BS60" s="27"/>
      <c r="BT60" s="27"/>
      <c r="BU60" s="27"/>
      <c r="BV60" s="27"/>
      <c r="BW60" s="27"/>
      <c r="BX60" s="27"/>
      <c r="BY60" s="27"/>
      <c r="BZ60" s="27"/>
      <c r="CA60" s="27"/>
      <c r="CB60" s="27"/>
      <c r="CC60" s="27"/>
      <c r="CL60" s="24"/>
      <c r="CM60" s="24"/>
      <c r="CN60" s="24"/>
      <c r="CO60" s="24"/>
      <c r="CP60" s="24"/>
      <c r="CQ60" s="24"/>
      <c r="CR60" s="24"/>
      <c r="CS60" s="24"/>
      <c r="CT60" s="24"/>
      <c r="CU60" s="24"/>
      <c r="CV60" s="24"/>
      <c r="CW60" s="24"/>
      <c r="CX60" s="24"/>
      <c r="CY60" s="24"/>
      <c r="CZ60" s="24"/>
      <c r="DA60" s="24"/>
      <c r="DB60" s="24"/>
      <c r="DC60" s="24"/>
      <c r="DD60" s="24"/>
      <c r="DE60" s="24"/>
      <c r="DF60" s="24"/>
    </row>
    <row r="61" spans="5:110" x14ac:dyDescent="0.3">
      <c r="E61" s="27"/>
      <c r="F61" s="27"/>
      <c r="G61" s="27"/>
      <c r="H61" s="27"/>
      <c r="I61" s="27"/>
      <c r="J61" s="27"/>
      <c r="K61" s="27"/>
      <c r="L61" s="27"/>
      <c r="M61" s="27"/>
      <c r="N61" s="27"/>
      <c r="O61" s="27"/>
      <c r="P61" s="27"/>
      <c r="Q61" s="27"/>
      <c r="R61" s="27"/>
      <c r="S61" s="27"/>
      <c r="T61" s="27"/>
      <c r="U61" s="27"/>
      <c r="V61" s="27"/>
      <c r="W61" s="27"/>
      <c r="X61" s="27"/>
      <c r="Y61" s="27"/>
      <c r="Z61" s="27"/>
      <c r="AA61" s="27"/>
      <c r="AB61" s="27"/>
      <c r="AC61" s="27"/>
      <c r="AD61" s="27"/>
      <c r="AE61" s="27"/>
      <c r="AF61" s="27"/>
      <c r="AG61" s="27"/>
      <c r="AH61" s="27"/>
      <c r="AI61" s="27"/>
      <c r="AJ61" s="27"/>
      <c r="AK61" s="27"/>
      <c r="AL61" s="27"/>
      <c r="AM61" s="27"/>
      <c r="AN61" s="27"/>
      <c r="AO61" s="27"/>
      <c r="AP61" s="27"/>
      <c r="AQ61" s="27"/>
      <c r="AR61" s="27"/>
      <c r="AS61" s="27"/>
      <c r="AT61" s="27"/>
      <c r="AU61" s="27"/>
      <c r="AV61" s="27"/>
      <c r="AW61" s="27"/>
      <c r="AX61" s="27"/>
      <c r="AY61" s="27"/>
      <c r="AZ61" s="27"/>
      <c r="BA61" s="27"/>
      <c r="BB61" s="27"/>
      <c r="BC61" s="27"/>
      <c r="BD61" s="27"/>
      <c r="BE61" s="27"/>
      <c r="BF61" s="27"/>
      <c r="BG61" s="27"/>
      <c r="BH61" s="27"/>
      <c r="BI61" s="27"/>
      <c r="BJ61" s="27"/>
      <c r="BK61" s="27"/>
      <c r="BL61" s="27"/>
      <c r="BM61" s="27"/>
      <c r="BN61" s="27"/>
      <c r="BO61" s="27"/>
      <c r="BP61" s="27"/>
      <c r="BQ61" s="27"/>
      <c r="BR61" s="27"/>
      <c r="BS61" s="27"/>
      <c r="BT61" s="27"/>
      <c r="BU61" s="27"/>
      <c r="BV61" s="27"/>
      <c r="BW61" s="27"/>
      <c r="BX61" s="27"/>
      <c r="BY61" s="27"/>
      <c r="BZ61" s="27"/>
      <c r="CA61" s="27"/>
      <c r="CB61" s="27"/>
      <c r="CC61" s="27"/>
      <c r="CL61" s="24"/>
      <c r="CM61" s="24"/>
      <c r="CN61" s="24"/>
      <c r="CO61" s="24"/>
      <c r="CP61" s="24"/>
      <c r="CQ61" s="24"/>
      <c r="CR61" s="24"/>
      <c r="CS61" s="24"/>
      <c r="CT61" s="24"/>
      <c r="CU61" s="24"/>
      <c r="CV61" s="24"/>
      <c r="CW61" s="24"/>
      <c r="CX61" s="24"/>
      <c r="CY61" s="24"/>
      <c r="CZ61" s="24"/>
      <c r="DA61" s="24"/>
      <c r="DB61" s="24"/>
      <c r="DC61" s="24"/>
      <c r="DD61" s="24"/>
      <c r="DE61" s="24"/>
      <c r="DF61" s="24"/>
    </row>
    <row r="62" spans="5:110" x14ac:dyDescent="0.3">
      <c r="E62" s="27"/>
      <c r="F62" s="27"/>
      <c r="G62" s="27"/>
      <c r="H62" s="27"/>
      <c r="I62" s="27"/>
      <c r="J62" s="27"/>
      <c r="K62" s="27"/>
      <c r="L62" s="27"/>
      <c r="M62" s="27"/>
      <c r="N62" s="27"/>
      <c r="O62" s="27"/>
      <c r="P62" s="27"/>
      <c r="Q62" s="27"/>
      <c r="R62" s="27"/>
      <c r="S62" s="27"/>
      <c r="T62" s="27"/>
      <c r="U62" s="27"/>
      <c r="V62" s="27"/>
      <c r="W62" s="27"/>
      <c r="X62" s="27"/>
      <c r="Y62" s="27"/>
      <c r="Z62" s="27"/>
      <c r="AA62" s="27"/>
      <c r="AB62" s="27"/>
      <c r="AC62" s="27"/>
      <c r="AD62" s="27"/>
      <c r="AE62" s="27"/>
      <c r="AF62" s="27"/>
      <c r="AG62" s="27"/>
      <c r="AH62" s="27"/>
      <c r="AI62" s="27"/>
      <c r="AJ62" s="27"/>
      <c r="AK62" s="27"/>
      <c r="AL62" s="27"/>
      <c r="AM62" s="27"/>
      <c r="AN62" s="27"/>
      <c r="AO62" s="27"/>
      <c r="AP62" s="27"/>
      <c r="AQ62" s="27"/>
      <c r="AR62" s="27"/>
      <c r="AS62" s="27"/>
      <c r="AT62" s="27"/>
      <c r="AU62" s="27"/>
      <c r="AV62" s="27"/>
      <c r="AW62" s="27"/>
      <c r="AX62" s="27"/>
      <c r="AY62" s="27"/>
      <c r="AZ62" s="27"/>
      <c r="BA62" s="27"/>
      <c r="BB62" s="27"/>
      <c r="BC62" s="27"/>
      <c r="BD62" s="27"/>
      <c r="BE62" s="27"/>
      <c r="BF62" s="27"/>
      <c r="BG62" s="27"/>
      <c r="BH62" s="27"/>
      <c r="BI62" s="27"/>
      <c r="BJ62" s="27"/>
      <c r="BK62" s="27"/>
      <c r="BL62" s="27"/>
      <c r="BM62" s="27"/>
      <c r="BN62" s="27"/>
      <c r="BO62" s="27"/>
      <c r="BP62" s="27"/>
      <c r="BQ62" s="27"/>
      <c r="BR62" s="27"/>
      <c r="BS62" s="27"/>
      <c r="BT62" s="27"/>
      <c r="BU62" s="27"/>
      <c r="BV62" s="27"/>
      <c r="BW62" s="27"/>
      <c r="BX62" s="27"/>
      <c r="BY62" s="27"/>
      <c r="BZ62" s="27"/>
      <c r="CA62" s="27"/>
      <c r="CB62" s="27"/>
      <c r="CC62" s="27"/>
      <c r="CL62" s="24"/>
      <c r="CM62" s="24"/>
      <c r="CN62" s="24"/>
      <c r="CO62" s="24"/>
      <c r="CP62" s="24"/>
      <c r="CQ62" s="24"/>
      <c r="CR62" s="24"/>
      <c r="CS62" s="24"/>
      <c r="CT62" s="24"/>
      <c r="CU62" s="24"/>
      <c r="CV62" s="24"/>
      <c r="CW62" s="24"/>
      <c r="CX62" s="24"/>
      <c r="CY62" s="24"/>
      <c r="CZ62" s="24"/>
      <c r="DA62" s="24"/>
      <c r="DB62" s="24"/>
      <c r="DC62" s="24"/>
      <c r="DD62" s="24"/>
      <c r="DE62" s="24"/>
      <c r="DF62" s="24"/>
    </row>
    <row r="63" spans="5:110" x14ac:dyDescent="0.3">
      <c r="E63" s="27"/>
      <c r="F63" s="27"/>
      <c r="G63" s="27"/>
      <c r="H63" s="27"/>
      <c r="I63" s="27"/>
      <c r="J63" s="27"/>
      <c r="K63" s="27"/>
      <c r="L63" s="27"/>
      <c r="M63" s="27"/>
      <c r="N63" s="27"/>
      <c r="O63" s="27"/>
      <c r="P63" s="27"/>
      <c r="Q63" s="27"/>
      <c r="R63" s="27"/>
      <c r="S63" s="27"/>
      <c r="T63" s="27"/>
      <c r="U63" s="27"/>
      <c r="V63" s="27"/>
      <c r="W63" s="27"/>
      <c r="X63" s="27"/>
      <c r="Y63" s="27"/>
      <c r="Z63" s="27"/>
      <c r="AA63" s="27"/>
      <c r="AB63" s="27"/>
      <c r="AC63" s="27"/>
      <c r="AD63" s="27"/>
      <c r="AE63" s="27"/>
      <c r="AF63" s="27"/>
      <c r="AG63" s="27"/>
      <c r="AH63" s="27"/>
      <c r="AI63" s="27"/>
      <c r="AJ63" s="27"/>
      <c r="AK63" s="27"/>
      <c r="AL63" s="27"/>
      <c r="AM63" s="27"/>
      <c r="AN63" s="27"/>
      <c r="AO63" s="27"/>
      <c r="AP63" s="27"/>
      <c r="AQ63" s="27"/>
      <c r="AR63" s="27"/>
      <c r="AS63" s="27"/>
      <c r="AT63" s="27"/>
      <c r="AU63" s="27"/>
      <c r="AV63" s="27"/>
      <c r="AW63" s="27"/>
      <c r="AX63" s="27"/>
      <c r="AY63" s="27"/>
      <c r="AZ63" s="27"/>
      <c r="BA63" s="27"/>
      <c r="BB63" s="27"/>
      <c r="BC63" s="27"/>
      <c r="BD63" s="27"/>
      <c r="BE63" s="27"/>
      <c r="BF63" s="27"/>
      <c r="BG63" s="27"/>
      <c r="BH63" s="27"/>
      <c r="BI63" s="27"/>
      <c r="BJ63" s="27"/>
      <c r="BK63" s="27"/>
      <c r="BL63" s="27"/>
      <c r="BM63" s="27"/>
      <c r="BN63" s="27"/>
      <c r="BO63" s="27"/>
      <c r="BP63" s="27"/>
      <c r="BQ63" s="27"/>
      <c r="BR63" s="27"/>
      <c r="BS63" s="27"/>
      <c r="BT63" s="27"/>
      <c r="BU63" s="27"/>
      <c r="BV63" s="27"/>
      <c r="BW63" s="27"/>
      <c r="BX63" s="27"/>
      <c r="BY63" s="27"/>
      <c r="BZ63" s="27"/>
      <c r="CA63" s="27"/>
      <c r="CB63" s="27"/>
      <c r="CC63" s="27"/>
      <c r="CL63" s="24"/>
      <c r="CM63" s="24"/>
      <c r="CN63" s="24"/>
      <c r="CO63" s="24"/>
      <c r="CP63" s="24"/>
      <c r="CQ63" s="24"/>
      <c r="CR63" s="24"/>
      <c r="CS63" s="24"/>
      <c r="CT63" s="24"/>
      <c r="CU63" s="24"/>
      <c r="CV63" s="24"/>
      <c r="CW63" s="24"/>
      <c r="CX63" s="24"/>
      <c r="CY63" s="24"/>
      <c r="CZ63" s="24"/>
      <c r="DA63" s="24"/>
      <c r="DB63" s="24"/>
      <c r="DC63" s="24"/>
      <c r="DD63" s="24"/>
      <c r="DE63" s="24"/>
      <c r="DF63" s="24"/>
    </row>
    <row r="64" spans="5:110" x14ac:dyDescent="0.3">
      <c r="E64" s="27"/>
      <c r="F64" s="27"/>
      <c r="G64" s="27"/>
      <c r="H64" s="27"/>
      <c r="I64" s="27"/>
      <c r="J64" s="27"/>
      <c r="K64" s="27"/>
      <c r="L64" s="27"/>
      <c r="M64" s="27"/>
      <c r="N64" s="27"/>
      <c r="O64" s="27"/>
      <c r="P64" s="27"/>
      <c r="Q64" s="27"/>
      <c r="R64" s="27"/>
      <c r="S64" s="27"/>
      <c r="T64" s="27"/>
      <c r="U64" s="27"/>
      <c r="V64" s="27"/>
      <c r="W64" s="27"/>
      <c r="X64" s="27"/>
      <c r="Y64" s="27"/>
      <c r="Z64" s="27"/>
      <c r="AA64" s="27"/>
      <c r="AB64" s="27"/>
      <c r="AC64" s="27"/>
      <c r="AD64" s="27"/>
      <c r="AE64" s="27"/>
      <c r="AF64" s="27"/>
      <c r="AG64" s="27"/>
      <c r="AH64" s="27"/>
      <c r="AI64" s="27"/>
      <c r="AJ64" s="27"/>
      <c r="AK64" s="27"/>
      <c r="AL64" s="27"/>
      <c r="AM64" s="27"/>
      <c r="AN64" s="27"/>
      <c r="AO64" s="27"/>
      <c r="AP64" s="27"/>
      <c r="AQ64" s="27"/>
      <c r="AR64" s="27"/>
      <c r="AS64" s="27"/>
      <c r="AT64" s="27"/>
      <c r="AU64" s="27"/>
      <c r="AV64" s="27"/>
      <c r="AW64" s="27"/>
      <c r="AX64" s="27"/>
      <c r="AY64" s="27"/>
      <c r="AZ64" s="27"/>
      <c r="BA64" s="27"/>
      <c r="BB64" s="27"/>
      <c r="BC64" s="27"/>
      <c r="BD64" s="27"/>
      <c r="BE64" s="27"/>
      <c r="BF64" s="27"/>
      <c r="BG64" s="27"/>
      <c r="BH64" s="27"/>
      <c r="BI64" s="27"/>
      <c r="BJ64" s="27"/>
      <c r="BK64" s="27"/>
      <c r="BL64" s="27"/>
      <c r="BM64" s="27"/>
      <c r="BN64" s="27"/>
      <c r="BO64" s="27"/>
      <c r="BP64" s="27"/>
      <c r="BQ64" s="27"/>
      <c r="BR64" s="27"/>
      <c r="BS64" s="27"/>
      <c r="BT64" s="27"/>
      <c r="BU64" s="27"/>
      <c r="BV64" s="27"/>
      <c r="BW64" s="27"/>
      <c r="BX64" s="27"/>
      <c r="BY64" s="27"/>
      <c r="BZ64" s="27"/>
      <c r="CA64" s="27"/>
      <c r="CB64" s="27"/>
      <c r="CC64" s="27"/>
      <c r="CL64" s="24"/>
      <c r="CM64" s="24"/>
      <c r="CN64" s="24"/>
      <c r="CO64" s="24"/>
      <c r="CP64" s="24"/>
      <c r="CQ64" s="24"/>
      <c r="CR64" s="24"/>
      <c r="CS64" s="24"/>
      <c r="CT64" s="24"/>
      <c r="CU64" s="24"/>
      <c r="CV64" s="24"/>
      <c r="CW64" s="24"/>
      <c r="CX64" s="24"/>
      <c r="CY64" s="24"/>
      <c r="CZ64" s="24"/>
      <c r="DA64" s="24"/>
      <c r="DB64" s="24"/>
      <c r="DC64" s="24"/>
      <c r="DD64" s="24"/>
      <c r="DE64" s="24"/>
      <c r="DF64" s="24"/>
    </row>
    <row r="65" spans="5:110" x14ac:dyDescent="0.3">
      <c r="E65" s="27"/>
      <c r="F65" s="27"/>
      <c r="G65" s="27"/>
      <c r="H65" s="27"/>
      <c r="I65" s="27"/>
      <c r="J65" s="27"/>
      <c r="K65" s="27"/>
      <c r="L65" s="27"/>
      <c r="M65" s="27"/>
      <c r="N65" s="27"/>
      <c r="O65" s="27"/>
      <c r="P65" s="27"/>
      <c r="Q65" s="27"/>
      <c r="R65" s="27"/>
      <c r="S65" s="27"/>
      <c r="T65" s="27"/>
      <c r="U65" s="27"/>
      <c r="V65" s="27"/>
      <c r="W65" s="27"/>
      <c r="X65" s="27"/>
      <c r="Y65" s="27"/>
      <c r="Z65" s="27"/>
      <c r="AA65" s="27"/>
      <c r="AB65" s="27"/>
      <c r="AC65" s="27"/>
      <c r="AD65" s="27"/>
      <c r="AE65" s="27"/>
      <c r="AF65" s="27"/>
      <c r="AG65" s="27"/>
      <c r="AH65" s="27"/>
      <c r="AI65" s="27"/>
      <c r="AJ65" s="27"/>
      <c r="AK65" s="27"/>
      <c r="AL65" s="27"/>
      <c r="AM65" s="27"/>
      <c r="AN65" s="27"/>
      <c r="AO65" s="27"/>
      <c r="AP65" s="27"/>
      <c r="AQ65" s="27"/>
      <c r="AR65" s="27"/>
      <c r="AS65" s="27"/>
      <c r="AT65" s="27"/>
      <c r="AU65" s="27"/>
      <c r="AV65" s="27"/>
      <c r="AW65" s="27"/>
      <c r="AX65" s="27"/>
      <c r="AY65" s="27"/>
      <c r="AZ65" s="27"/>
      <c r="BA65" s="27"/>
      <c r="BB65" s="27"/>
      <c r="BC65" s="27"/>
      <c r="BD65" s="27"/>
      <c r="BE65" s="27"/>
      <c r="BF65" s="27"/>
      <c r="BG65" s="27"/>
      <c r="BH65" s="27"/>
      <c r="BI65" s="27"/>
      <c r="BJ65" s="27"/>
      <c r="BK65" s="27"/>
      <c r="BL65" s="27"/>
      <c r="BM65" s="27"/>
      <c r="BN65" s="27"/>
      <c r="BO65" s="27"/>
      <c r="BP65" s="27"/>
      <c r="BQ65" s="27"/>
      <c r="BR65" s="27"/>
      <c r="BS65" s="27"/>
      <c r="BT65" s="27"/>
      <c r="BU65" s="27"/>
      <c r="BV65" s="27"/>
      <c r="BW65" s="27"/>
      <c r="BX65" s="27"/>
      <c r="BY65" s="27"/>
      <c r="BZ65" s="27"/>
      <c r="CA65" s="27"/>
      <c r="CB65" s="27"/>
      <c r="CC65" s="27"/>
      <c r="CL65" s="24"/>
      <c r="CM65" s="24"/>
      <c r="CN65" s="24"/>
      <c r="CO65" s="24"/>
      <c r="CP65" s="24"/>
      <c r="CQ65" s="24"/>
      <c r="CR65" s="24"/>
      <c r="CS65" s="24"/>
      <c r="CT65" s="24"/>
      <c r="CU65" s="24"/>
      <c r="CV65" s="24"/>
      <c r="CW65" s="24"/>
      <c r="CX65" s="24"/>
      <c r="CY65" s="24"/>
      <c r="CZ65" s="24"/>
      <c r="DA65" s="24"/>
      <c r="DB65" s="24"/>
      <c r="DC65" s="24"/>
      <c r="DD65" s="24"/>
      <c r="DE65" s="24"/>
      <c r="DF65" s="24"/>
    </row>
    <row r="66" spans="5:110" x14ac:dyDescent="0.3">
      <c r="E66" s="27"/>
      <c r="F66" s="27"/>
      <c r="G66" s="27"/>
      <c r="H66" s="27"/>
      <c r="I66" s="27"/>
      <c r="J66" s="27"/>
      <c r="K66" s="27"/>
      <c r="L66" s="27"/>
      <c r="M66" s="27"/>
      <c r="N66" s="27"/>
      <c r="O66" s="27"/>
      <c r="P66" s="27"/>
      <c r="Q66" s="27"/>
      <c r="R66" s="27"/>
      <c r="S66" s="27"/>
      <c r="T66" s="27"/>
      <c r="U66" s="27"/>
      <c r="V66" s="27"/>
      <c r="W66" s="27"/>
      <c r="X66" s="27"/>
      <c r="Y66" s="27"/>
      <c r="Z66" s="27"/>
      <c r="AA66" s="27"/>
      <c r="AB66" s="27"/>
      <c r="AC66" s="27"/>
      <c r="AD66" s="27"/>
      <c r="AE66" s="27"/>
      <c r="AF66" s="27"/>
      <c r="AG66" s="27"/>
      <c r="AH66" s="27"/>
      <c r="AI66" s="27"/>
      <c r="AJ66" s="27"/>
      <c r="AK66" s="27"/>
      <c r="AL66" s="27"/>
      <c r="AM66" s="27"/>
      <c r="AN66" s="27"/>
      <c r="AO66" s="27"/>
      <c r="AP66" s="27"/>
      <c r="AQ66" s="27"/>
      <c r="AR66" s="27"/>
      <c r="AS66" s="27"/>
      <c r="AT66" s="27"/>
      <c r="AU66" s="27"/>
      <c r="AV66" s="27"/>
      <c r="AW66" s="27"/>
      <c r="AX66" s="27"/>
      <c r="AY66" s="27"/>
      <c r="AZ66" s="27"/>
      <c r="BA66" s="27"/>
      <c r="BB66" s="27"/>
      <c r="BC66" s="27"/>
      <c r="BD66" s="27"/>
      <c r="BE66" s="27"/>
      <c r="BF66" s="27"/>
      <c r="BG66" s="27"/>
      <c r="BH66" s="27"/>
      <c r="BI66" s="27"/>
      <c r="BJ66" s="27"/>
      <c r="BK66" s="27"/>
      <c r="BL66" s="27"/>
      <c r="BM66" s="27"/>
      <c r="BN66" s="27"/>
      <c r="BO66" s="27"/>
      <c r="BP66" s="27"/>
      <c r="BQ66" s="27"/>
      <c r="BR66" s="27"/>
      <c r="BS66" s="27"/>
      <c r="BT66" s="27"/>
      <c r="BU66" s="27"/>
      <c r="BV66" s="27"/>
      <c r="BW66" s="27"/>
      <c r="BX66" s="27"/>
      <c r="BY66" s="27"/>
      <c r="BZ66" s="27"/>
      <c r="CA66" s="27"/>
      <c r="CB66" s="27"/>
      <c r="CC66" s="27"/>
      <c r="CL66" s="24"/>
      <c r="CM66" s="24"/>
      <c r="CN66" s="24"/>
      <c r="CO66" s="24"/>
      <c r="CP66" s="24"/>
      <c r="CQ66" s="24"/>
      <c r="CR66" s="24"/>
      <c r="CS66" s="24"/>
      <c r="CT66" s="24"/>
      <c r="CU66" s="24"/>
      <c r="CV66" s="24"/>
      <c r="CW66" s="24"/>
      <c r="CX66" s="24"/>
      <c r="CY66" s="24"/>
      <c r="CZ66" s="24"/>
      <c r="DA66" s="24"/>
      <c r="DB66" s="24"/>
      <c r="DC66" s="24"/>
      <c r="DD66" s="24"/>
      <c r="DE66" s="24"/>
      <c r="DF66" s="24"/>
    </row>
    <row r="67" spans="5:110" x14ac:dyDescent="0.3">
      <c r="E67" s="27"/>
      <c r="F67" s="27"/>
      <c r="G67" s="27"/>
      <c r="H67" s="27"/>
      <c r="I67" s="27"/>
      <c r="J67" s="27"/>
      <c r="K67" s="27"/>
      <c r="L67" s="27"/>
      <c r="M67" s="27"/>
      <c r="N67" s="27"/>
      <c r="O67" s="27"/>
      <c r="P67" s="27"/>
      <c r="Q67" s="27"/>
      <c r="R67" s="27"/>
      <c r="S67" s="27"/>
      <c r="T67" s="27"/>
      <c r="U67" s="27"/>
      <c r="V67" s="27"/>
      <c r="W67" s="27"/>
      <c r="X67" s="27"/>
      <c r="Y67" s="27"/>
      <c r="Z67" s="27"/>
      <c r="AA67" s="27"/>
      <c r="AB67" s="27"/>
      <c r="AC67" s="27"/>
      <c r="AD67" s="27"/>
      <c r="AE67" s="27"/>
      <c r="AF67" s="27"/>
      <c r="AG67" s="27"/>
      <c r="AH67" s="27"/>
      <c r="AI67" s="27"/>
      <c r="AJ67" s="27"/>
      <c r="AK67" s="27"/>
      <c r="AL67" s="27"/>
      <c r="AM67" s="27"/>
      <c r="AN67" s="27"/>
      <c r="AO67" s="27"/>
      <c r="AP67" s="27"/>
      <c r="AQ67" s="27"/>
      <c r="AR67" s="27"/>
      <c r="AS67" s="27"/>
      <c r="AT67" s="27"/>
      <c r="AU67" s="27"/>
      <c r="AV67" s="27"/>
      <c r="AW67" s="27"/>
      <c r="AX67" s="27"/>
      <c r="AY67" s="27"/>
      <c r="AZ67" s="27"/>
      <c r="BA67" s="27"/>
      <c r="BB67" s="27"/>
      <c r="BC67" s="27"/>
      <c r="BD67" s="27"/>
      <c r="BE67" s="27"/>
      <c r="BF67" s="27"/>
      <c r="BG67" s="27"/>
      <c r="BH67" s="27"/>
      <c r="BI67" s="27"/>
      <c r="BJ67" s="27"/>
      <c r="BK67" s="27"/>
      <c r="BL67" s="27"/>
      <c r="BM67" s="27"/>
      <c r="BN67" s="27"/>
      <c r="BO67" s="27"/>
      <c r="BP67" s="27"/>
      <c r="BQ67" s="27"/>
      <c r="BR67" s="27"/>
      <c r="BS67" s="27"/>
      <c r="BT67" s="27"/>
      <c r="BU67" s="27"/>
      <c r="BV67" s="27"/>
      <c r="BW67" s="27"/>
      <c r="BX67" s="27"/>
      <c r="BY67" s="27"/>
      <c r="BZ67" s="27"/>
      <c r="CA67" s="27"/>
      <c r="CB67" s="27"/>
      <c r="CC67" s="27"/>
      <c r="CL67" s="24"/>
      <c r="CM67" s="24"/>
      <c r="CN67" s="24"/>
      <c r="CO67" s="24"/>
      <c r="CP67" s="24"/>
      <c r="CQ67" s="24"/>
      <c r="CR67" s="24"/>
      <c r="CS67" s="24"/>
      <c r="CT67" s="24"/>
      <c r="CU67" s="24"/>
      <c r="CV67" s="24"/>
      <c r="CW67" s="24"/>
      <c r="CX67" s="24"/>
      <c r="CY67" s="24"/>
      <c r="CZ67" s="24"/>
      <c r="DA67" s="24"/>
      <c r="DB67" s="24"/>
      <c r="DC67" s="24"/>
      <c r="DD67" s="24"/>
      <c r="DE67" s="24"/>
      <c r="DF67" s="24"/>
    </row>
    <row r="68" spans="5:110" x14ac:dyDescent="0.3">
      <c r="E68" s="27"/>
      <c r="F68" s="27"/>
      <c r="G68" s="27"/>
      <c r="H68" s="27"/>
      <c r="I68" s="27"/>
      <c r="J68" s="27"/>
      <c r="K68" s="27"/>
      <c r="L68" s="27"/>
      <c r="M68" s="27"/>
      <c r="N68" s="27"/>
      <c r="O68" s="27"/>
      <c r="P68" s="27"/>
      <c r="Q68" s="27"/>
      <c r="R68" s="27"/>
      <c r="S68" s="27"/>
      <c r="T68" s="27"/>
      <c r="U68" s="27"/>
      <c r="V68" s="27"/>
      <c r="W68" s="27"/>
      <c r="X68" s="27"/>
      <c r="Y68" s="27"/>
      <c r="Z68" s="27"/>
      <c r="AA68" s="27"/>
      <c r="AB68" s="27"/>
      <c r="AC68" s="27"/>
      <c r="AD68" s="27"/>
      <c r="AE68" s="27"/>
      <c r="AF68" s="27"/>
      <c r="AG68" s="27"/>
      <c r="AH68" s="27"/>
      <c r="AI68" s="27"/>
      <c r="AJ68" s="27"/>
      <c r="AK68" s="27"/>
      <c r="AL68" s="27"/>
      <c r="AM68" s="27"/>
      <c r="AN68" s="27"/>
      <c r="AO68" s="27"/>
      <c r="AP68" s="27"/>
      <c r="AQ68" s="27"/>
      <c r="AR68" s="27"/>
      <c r="AS68" s="27"/>
      <c r="AT68" s="27"/>
      <c r="AU68" s="27"/>
      <c r="AV68" s="27"/>
      <c r="AW68" s="27"/>
      <c r="AX68" s="27"/>
      <c r="AY68" s="27"/>
      <c r="AZ68" s="27"/>
      <c r="BA68" s="27"/>
      <c r="BB68" s="27"/>
      <c r="BC68" s="27"/>
      <c r="BD68" s="27"/>
      <c r="BE68" s="27"/>
      <c r="BF68" s="27"/>
      <c r="BG68" s="27"/>
      <c r="BH68" s="27"/>
      <c r="BI68" s="27"/>
      <c r="BJ68" s="27"/>
      <c r="BK68" s="27"/>
      <c r="BL68" s="27"/>
      <c r="BM68" s="27"/>
      <c r="BN68" s="27"/>
      <c r="BO68" s="27"/>
      <c r="BP68" s="27"/>
      <c r="BQ68" s="27"/>
      <c r="BR68" s="27"/>
      <c r="BS68" s="27"/>
      <c r="BT68" s="27"/>
      <c r="BU68" s="27"/>
      <c r="BV68" s="27"/>
      <c r="BW68" s="27"/>
      <c r="BX68" s="27"/>
      <c r="BY68" s="27"/>
      <c r="BZ68" s="27"/>
      <c r="CA68" s="27"/>
      <c r="CB68" s="27"/>
      <c r="CC68" s="27"/>
      <c r="CL68" s="24"/>
      <c r="CM68" s="24"/>
      <c r="CN68" s="24"/>
      <c r="CO68" s="24"/>
      <c r="CP68" s="24"/>
      <c r="CQ68" s="24"/>
      <c r="CR68" s="24"/>
      <c r="CS68" s="24"/>
      <c r="CT68" s="24"/>
      <c r="CU68" s="24"/>
      <c r="CV68" s="24"/>
      <c r="CW68" s="24"/>
      <c r="CX68" s="24"/>
      <c r="CY68" s="24"/>
      <c r="CZ68" s="24"/>
      <c r="DA68" s="24"/>
      <c r="DB68" s="24"/>
      <c r="DC68" s="24"/>
      <c r="DD68" s="24"/>
      <c r="DE68" s="24"/>
      <c r="DF68" s="24"/>
    </row>
    <row r="69" spans="5:110" x14ac:dyDescent="0.3">
      <c r="E69" s="27"/>
      <c r="F69" s="27"/>
      <c r="G69" s="27"/>
      <c r="H69" s="27"/>
      <c r="I69" s="27"/>
      <c r="J69" s="27"/>
      <c r="K69" s="27"/>
      <c r="L69" s="27"/>
      <c r="M69" s="27"/>
      <c r="N69" s="27"/>
      <c r="O69" s="27"/>
      <c r="P69" s="27"/>
      <c r="Q69" s="27"/>
      <c r="R69" s="27"/>
      <c r="S69" s="27"/>
      <c r="T69" s="27"/>
      <c r="U69" s="27"/>
      <c r="V69" s="27"/>
      <c r="W69" s="27"/>
      <c r="X69" s="27"/>
      <c r="Y69" s="27"/>
      <c r="Z69" s="27"/>
      <c r="AA69" s="27"/>
      <c r="AB69" s="27"/>
      <c r="AC69" s="27"/>
      <c r="AD69" s="27"/>
      <c r="AE69" s="27"/>
      <c r="AF69" s="27"/>
      <c r="AG69" s="27"/>
      <c r="AH69" s="27"/>
      <c r="AI69" s="27"/>
      <c r="AJ69" s="27"/>
      <c r="AK69" s="27"/>
      <c r="AL69" s="27"/>
      <c r="AM69" s="27"/>
      <c r="AN69" s="27"/>
      <c r="AO69" s="27"/>
      <c r="AP69" s="27"/>
      <c r="AQ69" s="27"/>
      <c r="AR69" s="27"/>
      <c r="AS69" s="27"/>
      <c r="AT69" s="27"/>
      <c r="AU69" s="27"/>
      <c r="AV69" s="27"/>
      <c r="AW69" s="27"/>
      <c r="AX69" s="27"/>
      <c r="AY69" s="27"/>
      <c r="AZ69" s="27"/>
      <c r="BA69" s="27"/>
      <c r="BB69" s="27"/>
      <c r="BC69" s="27"/>
      <c r="BD69" s="27"/>
      <c r="BE69" s="27"/>
      <c r="BF69" s="27"/>
      <c r="BG69" s="27"/>
      <c r="BH69" s="27"/>
      <c r="BI69" s="27"/>
      <c r="BJ69" s="27"/>
      <c r="BK69" s="27"/>
      <c r="BL69" s="27"/>
      <c r="BM69" s="27"/>
      <c r="BN69" s="27"/>
      <c r="BO69" s="27"/>
      <c r="BP69" s="27"/>
      <c r="BQ69" s="27"/>
      <c r="BR69" s="27"/>
      <c r="BS69" s="27"/>
      <c r="BT69" s="27"/>
      <c r="BU69" s="27"/>
      <c r="BV69" s="27"/>
      <c r="BW69" s="27"/>
      <c r="BX69" s="27"/>
      <c r="BY69" s="27"/>
      <c r="BZ69" s="27"/>
      <c r="CA69" s="27"/>
      <c r="CB69" s="27"/>
      <c r="CC69" s="27"/>
      <c r="CL69" s="24"/>
      <c r="CM69" s="24"/>
      <c r="CN69" s="24"/>
      <c r="CO69" s="24"/>
      <c r="CP69" s="24"/>
      <c r="CQ69" s="24"/>
      <c r="CR69" s="24"/>
      <c r="CS69" s="24"/>
      <c r="CT69" s="24"/>
      <c r="CU69" s="24"/>
      <c r="CV69" s="24"/>
      <c r="CW69" s="24"/>
      <c r="CX69" s="24"/>
      <c r="CY69" s="24"/>
      <c r="CZ69" s="24"/>
      <c r="DA69" s="24"/>
      <c r="DB69" s="24"/>
      <c r="DC69" s="24"/>
      <c r="DD69" s="24"/>
      <c r="DE69" s="24"/>
      <c r="DF69" s="24"/>
    </row>
    <row r="70" spans="5:110" x14ac:dyDescent="0.3">
      <c r="E70" s="27"/>
      <c r="F70" s="27"/>
      <c r="G70" s="27"/>
      <c r="H70" s="27"/>
      <c r="I70" s="27"/>
      <c r="J70" s="27"/>
      <c r="K70" s="27"/>
      <c r="L70" s="27"/>
      <c r="M70" s="27"/>
      <c r="N70" s="27"/>
      <c r="O70" s="27"/>
      <c r="P70" s="27"/>
      <c r="Q70" s="27"/>
      <c r="R70" s="27"/>
      <c r="S70" s="27"/>
      <c r="T70" s="27"/>
      <c r="U70" s="27"/>
      <c r="V70" s="27"/>
      <c r="W70" s="27"/>
      <c r="X70" s="27"/>
      <c r="Y70" s="27"/>
      <c r="Z70" s="27"/>
      <c r="AA70" s="27"/>
      <c r="AB70" s="27"/>
      <c r="AC70" s="27"/>
      <c r="AD70" s="27"/>
      <c r="AE70" s="27"/>
      <c r="AF70" s="27"/>
      <c r="AG70" s="27"/>
      <c r="AH70" s="27"/>
      <c r="AI70" s="27"/>
      <c r="AJ70" s="27"/>
      <c r="AK70" s="27"/>
      <c r="AL70" s="27"/>
      <c r="AM70" s="27"/>
      <c r="AN70" s="27"/>
      <c r="AO70" s="27"/>
      <c r="AP70" s="27"/>
      <c r="AQ70" s="27"/>
      <c r="AR70" s="27"/>
      <c r="AS70" s="27"/>
      <c r="AT70" s="27"/>
      <c r="AU70" s="27"/>
      <c r="AV70" s="27"/>
      <c r="AW70" s="27"/>
      <c r="AX70" s="27"/>
      <c r="AY70" s="27"/>
      <c r="AZ70" s="27"/>
      <c r="BA70" s="27"/>
      <c r="BB70" s="27"/>
      <c r="BC70" s="27"/>
      <c r="BD70" s="27"/>
      <c r="BE70" s="27"/>
      <c r="BF70" s="27"/>
      <c r="BG70" s="27"/>
      <c r="BH70" s="27"/>
      <c r="BI70" s="27"/>
      <c r="BJ70" s="27"/>
      <c r="BK70" s="27"/>
      <c r="BL70" s="27"/>
      <c r="BM70" s="27"/>
      <c r="BN70" s="27"/>
      <c r="BO70" s="27"/>
      <c r="BP70" s="27"/>
      <c r="BQ70" s="27"/>
      <c r="BR70" s="27"/>
      <c r="BS70" s="27"/>
      <c r="BT70" s="27"/>
      <c r="BU70" s="27"/>
      <c r="BV70" s="27"/>
      <c r="BW70" s="27"/>
      <c r="BX70" s="27"/>
      <c r="BY70" s="27"/>
      <c r="BZ70" s="27"/>
      <c r="CA70" s="27"/>
      <c r="CB70" s="27"/>
      <c r="CC70" s="27"/>
      <c r="CL70" s="24"/>
      <c r="CM70" s="24"/>
      <c r="CN70" s="24"/>
      <c r="CO70" s="24"/>
      <c r="CP70" s="24"/>
      <c r="CQ70" s="24"/>
      <c r="CR70" s="24"/>
      <c r="CS70" s="24"/>
      <c r="CT70" s="24"/>
      <c r="CU70" s="24"/>
      <c r="CV70" s="24"/>
      <c r="CW70" s="24"/>
      <c r="CX70" s="24"/>
      <c r="CY70" s="24"/>
      <c r="CZ70" s="24"/>
      <c r="DA70" s="24"/>
      <c r="DB70" s="24"/>
      <c r="DC70" s="24"/>
      <c r="DD70" s="24"/>
      <c r="DE70" s="24"/>
      <c r="DF70" s="24"/>
    </row>
    <row r="71" spans="5:110" x14ac:dyDescent="0.3">
      <c r="E71" s="27"/>
      <c r="F71" s="27"/>
      <c r="G71" s="27"/>
      <c r="H71" s="27"/>
      <c r="I71" s="27"/>
      <c r="J71" s="27"/>
      <c r="K71" s="27"/>
      <c r="L71" s="27"/>
      <c r="M71" s="27"/>
      <c r="N71" s="27"/>
      <c r="O71" s="27"/>
      <c r="P71" s="27"/>
      <c r="Q71" s="27"/>
      <c r="R71" s="27"/>
      <c r="S71" s="27"/>
      <c r="T71" s="27"/>
      <c r="U71" s="27"/>
      <c r="V71" s="27"/>
      <c r="W71" s="27"/>
      <c r="X71" s="27"/>
      <c r="Y71" s="27"/>
      <c r="Z71" s="27"/>
      <c r="AA71" s="27"/>
      <c r="AB71" s="27"/>
      <c r="AC71" s="27"/>
      <c r="AD71" s="27"/>
      <c r="AE71" s="27"/>
      <c r="AF71" s="27"/>
      <c r="AG71" s="27"/>
      <c r="AH71" s="27"/>
      <c r="AI71" s="27"/>
      <c r="AJ71" s="27"/>
      <c r="AK71" s="27"/>
      <c r="AL71" s="27"/>
      <c r="AM71" s="27"/>
      <c r="AN71" s="27"/>
      <c r="AO71" s="27"/>
      <c r="AP71" s="27"/>
      <c r="AQ71" s="27"/>
      <c r="AR71" s="27"/>
      <c r="AS71" s="27"/>
      <c r="AT71" s="27"/>
      <c r="AU71" s="27"/>
      <c r="AV71" s="27"/>
      <c r="AW71" s="27"/>
      <c r="AX71" s="27"/>
      <c r="AY71" s="27"/>
      <c r="AZ71" s="27"/>
      <c r="BA71" s="27"/>
      <c r="BB71" s="27"/>
      <c r="BC71" s="27"/>
      <c r="BD71" s="27"/>
      <c r="BE71" s="27"/>
      <c r="BF71" s="27"/>
      <c r="BG71" s="27"/>
      <c r="BH71" s="27"/>
      <c r="BI71" s="27"/>
      <c r="BJ71" s="27"/>
      <c r="BK71" s="27"/>
      <c r="BL71" s="27"/>
      <c r="BM71" s="27"/>
      <c r="BN71" s="27"/>
      <c r="BO71" s="27"/>
      <c r="BP71" s="27"/>
      <c r="BQ71" s="27"/>
      <c r="BR71" s="27"/>
      <c r="BS71" s="27"/>
      <c r="BT71" s="27"/>
      <c r="BU71" s="27"/>
      <c r="BV71" s="27"/>
      <c r="BW71" s="27"/>
      <c r="BX71" s="27"/>
      <c r="BY71" s="27"/>
      <c r="BZ71" s="27"/>
      <c r="CA71" s="27"/>
      <c r="CB71" s="27"/>
      <c r="CC71" s="27"/>
      <c r="CL71" s="24"/>
      <c r="CM71" s="24"/>
      <c r="CN71" s="24"/>
      <c r="CO71" s="24"/>
      <c r="CP71" s="24"/>
      <c r="CQ71" s="24"/>
      <c r="CR71" s="24"/>
      <c r="CS71" s="24"/>
      <c r="CT71" s="24"/>
      <c r="CU71" s="24"/>
      <c r="CV71" s="24"/>
      <c r="CW71" s="24"/>
      <c r="CX71" s="24"/>
      <c r="CY71" s="24"/>
      <c r="CZ71" s="24"/>
      <c r="DA71" s="24"/>
      <c r="DB71" s="24"/>
      <c r="DC71" s="24"/>
      <c r="DD71" s="24"/>
      <c r="DE71" s="24"/>
      <c r="DF71" s="24"/>
    </row>
    <row r="72" spans="5:110" x14ac:dyDescent="0.3">
      <c r="E72" s="27"/>
      <c r="F72" s="27"/>
      <c r="G72" s="27"/>
      <c r="H72" s="27"/>
      <c r="I72" s="27"/>
      <c r="J72" s="27"/>
      <c r="K72" s="27"/>
      <c r="L72" s="27"/>
      <c r="M72" s="27"/>
      <c r="N72" s="27"/>
      <c r="O72" s="27"/>
      <c r="P72" s="27"/>
      <c r="Q72" s="27"/>
      <c r="R72" s="27"/>
      <c r="S72" s="27"/>
      <c r="T72" s="27"/>
      <c r="U72" s="27"/>
      <c r="V72" s="27"/>
      <c r="W72" s="27"/>
      <c r="X72" s="27"/>
      <c r="Y72" s="27"/>
      <c r="Z72" s="27"/>
      <c r="AA72" s="27"/>
      <c r="AB72" s="27"/>
      <c r="AC72" s="27"/>
      <c r="AD72" s="27"/>
      <c r="AE72" s="27"/>
      <c r="AF72" s="27"/>
      <c r="AG72" s="27"/>
      <c r="AH72" s="27"/>
      <c r="AI72" s="27"/>
      <c r="AJ72" s="27"/>
      <c r="AK72" s="27"/>
      <c r="AL72" s="27"/>
      <c r="AM72" s="27"/>
      <c r="AN72" s="27"/>
      <c r="AO72" s="27"/>
      <c r="AP72" s="27"/>
      <c r="AQ72" s="27"/>
      <c r="AR72" s="27"/>
      <c r="AS72" s="27"/>
      <c r="AT72" s="27"/>
      <c r="AU72" s="27"/>
      <c r="AV72" s="27"/>
      <c r="AW72" s="27"/>
      <c r="AX72" s="27"/>
      <c r="AY72" s="27"/>
      <c r="AZ72" s="27"/>
      <c r="BA72" s="27"/>
      <c r="BB72" s="27"/>
      <c r="BC72" s="27"/>
      <c r="BD72" s="27"/>
      <c r="BE72" s="27"/>
      <c r="BF72" s="27"/>
      <c r="BG72" s="27"/>
      <c r="BH72" s="27"/>
      <c r="BI72" s="27"/>
      <c r="BJ72" s="27"/>
      <c r="BK72" s="27"/>
      <c r="BL72" s="27"/>
      <c r="BM72" s="27"/>
      <c r="BN72" s="27"/>
      <c r="BO72" s="27"/>
      <c r="BP72" s="27"/>
      <c r="BQ72" s="27"/>
      <c r="BR72" s="27"/>
      <c r="BS72" s="27"/>
      <c r="BT72" s="27"/>
      <c r="BU72" s="27"/>
      <c r="BV72" s="27"/>
      <c r="BW72" s="27"/>
      <c r="BX72" s="27"/>
      <c r="BY72" s="27"/>
      <c r="BZ72" s="27"/>
      <c r="CA72" s="27"/>
      <c r="CB72" s="27"/>
      <c r="CC72" s="27"/>
      <c r="CL72" s="24"/>
      <c r="CM72" s="24"/>
      <c r="CN72" s="24"/>
      <c r="CO72" s="24"/>
      <c r="CP72" s="24"/>
      <c r="CQ72" s="24"/>
      <c r="CR72" s="24"/>
      <c r="CS72" s="24"/>
      <c r="CT72" s="24"/>
      <c r="CU72" s="24"/>
      <c r="CV72" s="24"/>
      <c r="CW72" s="24"/>
      <c r="CX72" s="24"/>
      <c r="CY72" s="24"/>
      <c r="CZ72" s="24"/>
      <c r="DA72" s="24"/>
      <c r="DB72" s="24"/>
      <c r="DC72" s="24"/>
      <c r="DD72" s="24"/>
      <c r="DE72" s="24"/>
      <c r="DF72" s="24"/>
    </row>
    <row r="73" spans="5:110" x14ac:dyDescent="0.3">
      <c r="E73" s="27"/>
      <c r="F73" s="27"/>
      <c r="G73" s="27"/>
      <c r="H73" s="27"/>
      <c r="I73" s="27"/>
      <c r="J73" s="27"/>
      <c r="K73" s="27"/>
      <c r="L73" s="27"/>
      <c r="M73" s="27"/>
      <c r="N73" s="27"/>
      <c r="O73" s="27"/>
      <c r="P73" s="27"/>
      <c r="Q73" s="27"/>
      <c r="R73" s="27"/>
      <c r="S73" s="27"/>
      <c r="T73" s="27"/>
      <c r="U73" s="27"/>
      <c r="V73" s="27"/>
      <c r="W73" s="27"/>
      <c r="X73" s="27"/>
      <c r="Y73" s="27"/>
      <c r="Z73" s="27"/>
      <c r="AA73" s="27"/>
      <c r="AB73" s="27"/>
      <c r="AC73" s="27"/>
      <c r="AD73" s="27"/>
      <c r="AE73" s="27"/>
      <c r="AF73" s="27"/>
      <c r="AG73" s="27"/>
      <c r="AH73" s="27"/>
      <c r="AI73" s="27"/>
      <c r="AJ73" s="27"/>
      <c r="AK73" s="27"/>
      <c r="AL73" s="27"/>
      <c r="AM73" s="27"/>
      <c r="AN73" s="27"/>
      <c r="AO73" s="27"/>
      <c r="AP73" s="27"/>
      <c r="AQ73" s="27"/>
      <c r="AR73" s="27"/>
      <c r="AS73" s="27"/>
      <c r="AT73" s="27"/>
      <c r="AU73" s="27"/>
      <c r="AV73" s="27"/>
      <c r="AW73" s="27"/>
      <c r="AX73" s="27"/>
      <c r="AY73" s="27"/>
      <c r="AZ73" s="27"/>
      <c r="BA73" s="27"/>
      <c r="BB73" s="27"/>
      <c r="BC73" s="27"/>
      <c r="BD73" s="27"/>
      <c r="BE73" s="27"/>
      <c r="BF73" s="27"/>
      <c r="BG73" s="27"/>
      <c r="BH73" s="27"/>
      <c r="BI73" s="27"/>
      <c r="BJ73" s="27"/>
      <c r="BK73" s="27"/>
      <c r="BL73" s="27"/>
      <c r="BM73" s="27"/>
      <c r="BN73" s="27"/>
      <c r="BO73" s="27"/>
      <c r="BP73" s="27"/>
      <c r="BQ73" s="27"/>
      <c r="BR73" s="27"/>
      <c r="BS73" s="27"/>
      <c r="BT73" s="27"/>
      <c r="BU73" s="27"/>
      <c r="BV73" s="27"/>
      <c r="BW73" s="27"/>
      <c r="BX73" s="27"/>
      <c r="BY73" s="27"/>
      <c r="BZ73" s="27"/>
      <c r="CA73" s="27"/>
      <c r="CB73" s="27"/>
      <c r="CC73" s="27"/>
      <c r="CL73" s="24"/>
      <c r="CM73" s="24"/>
      <c r="CN73" s="24"/>
      <c r="CO73" s="24"/>
      <c r="CP73" s="24"/>
      <c r="CQ73" s="24"/>
      <c r="CR73" s="24"/>
      <c r="CS73" s="24"/>
      <c r="CT73" s="24"/>
      <c r="CU73" s="24"/>
      <c r="CV73" s="24"/>
      <c r="CW73" s="24"/>
      <c r="CX73" s="24"/>
      <c r="CY73" s="24"/>
      <c r="CZ73" s="24"/>
      <c r="DA73" s="24"/>
      <c r="DB73" s="24"/>
      <c r="DC73" s="24"/>
      <c r="DD73" s="24"/>
      <c r="DE73" s="24"/>
      <c r="DF73" s="24"/>
    </row>
    <row r="74" spans="5:110" x14ac:dyDescent="0.3">
      <c r="E74" s="27"/>
      <c r="F74" s="27"/>
      <c r="G74" s="27"/>
      <c r="H74" s="27"/>
      <c r="I74" s="27"/>
      <c r="J74" s="27"/>
      <c r="K74" s="27"/>
      <c r="L74" s="27"/>
      <c r="M74" s="27"/>
      <c r="N74" s="27"/>
      <c r="O74" s="27"/>
      <c r="P74" s="27"/>
      <c r="Q74" s="27"/>
      <c r="R74" s="27"/>
      <c r="S74" s="27"/>
      <c r="T74" s="27"/>
      <c r="U74" s="27"/>
      <c r="V74" s="27"/>
      <c r="W74" s="27"/>
      <c r="X74" s="27"/>
      <c r="Y74" s="27"/>
      <c r="Z74" s="27"/>
      <c r="AA74" s="27"/>
      <c r="AB74" s="27"/>
      <c r="AC74" s="27"/>
      <c r="AD74" s="27"/>
      <c r="AE74" s="27"/>
      <c r="AF74" s="27"/>
      <c r="AG74" s="27"/>
      <c r="AH74" s="27"/>
      <c r="AI74" s="27"/>
      <c r="AJ74" s="27"/>
      <c r="AK74" s="27"/>
      <c r="AL74" s="27"/>
      <c r="AM74" s="27"/>
      <c r="AN74" s="27"/>
      <c r="AO74" s="27"/>
      <c r="AP74" s="27"/>
      <c r="AQ74" s="27"/>
      <c r="AR74" s="27"/>
      <c r="AS74" s="27"/>
      <c r="AT74" s="27"/>
      <c r="AU74" s="27"/>
      <c r="AV74" s="27"/>
      <c r="AW74" s="27"/>
      <c r="AX74" s="27"/>
      <c r="AY74" s="27"/>
      <c r="AZ74" s="27"/>
      <c r="BA74" s="27"/>
      <c r="BB74" s="27"/>
      <c r="BC74" s="27"/>
      <c r="BD74" s="27"/>
      <c r="BE74" s="27"/>
      <c r="BF74" s="27"/>
      <c r="BG74" s="27"/>
      <c r="BH74" s="27"/>
      <c r="BI74" s="27"/>
      <c r="BJ74" s="27"/>
      <c r="BK74" s="27"/>
      <c r="BL74" s="27"/>
      <c r="BM74" s="27"/>
      <c r="BN74" s="27"/>
      <c r="BO74" s="27"/>
      <c r="BP74" s="27"/>
      <c r="BQ74" s="27"/>
      <c r="BR74" s="27"/>
      <c r="BS74" s="27"/>
      <c r="BT74" s="27"/>
      <c r="BU74" s="27"/>
      <c r="BV74" s="27"/>
      <c r="BW74" s="27"/>
      <c r="BX74" s="27"/>
      <c r="BY74" s="27"/>
      <c r="BZ74" s="27"/>
      <c r="CA74" s="27"/>
      <c r="CB74" s="27"/>
      <c r="CC74" s="27"/>
      <c r="CL74" s="24"/>
      <c r="CM74" s="24"/>
      <c r="CN74" s="24"/>
      <c r="CO74" s="24"/>
      <c r="CP74" s="24"/>
      <c r="CQ74" s="24"/>
      <c r="CR74" s="24"/>
      <c r="CS74" s="24"/>
      <c r="CT74" s="24"/>
      <c r="CU74" s="24"/>
      <c r="CV74" s="24"/>
      <c r="CW74" s="24"/>
      <c r="CX74" s="24"/>
      <c r="CY74" s="24"/>
      <c r="CZ74" s="24"/>
      <c r="DA74" s="24"/>
      <c r="DB74" s="24"/>
      <c r="DC74" s="24"/>
      <c r="DD74" s="24"/>
      <c r="DE74" s="24"/>
      <c r="DF74" s="24"/>
    </row>
    <row r="75" spans="5:110" x14ac:dyDescent="0.3">
      <c r="E75" s="27"/>
      <c r="F75" s="27"/>
      <c r="G75" s="27"/>
      <c r="H75" s="27"/>
      <c r="I75" s="27"/>
      <c r="J75" s="27"/>
      <c r="K75" s="27"/>
      <c r="L75" s="27"/>
      <c r="M75" s="27"/>
      <c r="N75" s="27"/>
      <c r="O75" s="27"/>
      <c r="P75" s="27"/>
      <c r="Q75" s="27"/>
      <c r="R75" s="27"/>
      <c r="S75" s="27"/>
      <c r="T75" s="27"/>
      <c r="U75" s="27"/>
      <c r="V75" s="27"/>
      <c r="W75" s="27"/>
      <c r="X75" s="27"/>
      <c r="Y75" s="27"/>
      <c r="Z75" s="27"/>
      <c r="AA75" s="27"/>
      <c r="AB75" s="27"/>
      <c r="AC75" s="27"/>
      <c r="AD75" s="27"/>
      <c r="AE75" s="27"/>
      <c r="AF75" s="27"/>
      <c r="AG75" s="27"/>
      <c r="AH75" s="27"/>
      <c r="AI75" s="27"/>
      <c r="AJ75" s="27"/>
      <c r="AK75" s="27"/>
      <c r="AL75" s="27"/>
      <c r="AM75" s="27"/>
      <c r="AN75" s="27"/>
      <c r="AO75" s="27"/>
      <c r="AP75" s="27"/>
      <c r="AQ75" s="27"/>
      <c r="AR75" s="27"/>
      <c r="AS75" s="27"/>
      <c r="AT75" s="27"/>
      <c r="AU75" s="27"/>
      <c r="AV75" s="27"/>
      <c r="AW75" s="27"/>
      <c r="AX75" s="27"/>
      <c r="AY75" s="27"/>
      <c r="AZ75" s="27"/>
      <c r="BA75" s="27"/>
      <c r="BB75" s="27"/>
      <c r="BC75" s="27"/>
      <c r="BD75" s="27"/>
      <c r="BE75" s="27"/>
      <c r="BF75" s="27"/>
      <c r="BG75" s="27"/>
      <c r="BH75" s="27"/>
      <c r="BI75" s="27"/>
      <c r="BJ75" s="27"/>
      <c r="BK75" s="27"/>
      <c r="BL75" s="27"/>
      <c r="BM75" s="27"/>
      <c r="BN75" s="27"/>
      <c r="BO75" s="27"/>
      <c r="BP75" s="27"/>
      <c r="BQ75" s="27"/>
      <c r="BR75" s="27"/>
      <c r="BS75" s="27"/>
      <c r="BT75" s="27"/>
      <c r="BU75" s="27"/>
      <c r="BV75" s="27"/>
      <c r="BW75" s="27"/>
      <c r="BX75" s="27"/>
      <c r="BY75" s="27"/>
      <c r="BZ75" s="27"/>
      <c r="CA75" s="27"/>
      <c r="CB75" s="27"/>
      <c r="CC75" s="27"/>
      <c r="CL75" s="24"/>
      <c r="CM75" s="24"/>
      <c r="CN75" s="24"/>
      <c r="CO75" s="24"/>
      <c r="CP75" s="24"/>
      <c r="CQ75" s="24"/>
      <c r="CR75" s="24"/>
      <c r="CS75" s="24"/>
      <c r="CT75" s="24"/>
      <c r="CU75" s="24"/>
      <c r="CV75" s="24"/>
      <c r="CW75" s="24"/>
      <c r="CX75" s="24"/>
      <c r="CY75" s="24"/>
      <c r="CZ75" s="24"/>
      <c r="DA75" s="24"/>
      <c r="DB75" s="24"/>
      <c r="DC75" s="24"/>
      <c r="DD75" s="24"/>
      <c r="DE75" s="24"/>
      <c r="DF75" s="24"/>
    </row>
    <row r="76" spans="5:110" x14ac:dyDescent="0.3">
      <c r="E76" s="27"/>
      <c r="F76" s="27"/>
      <c r="G76" s="27"/>
      <c r="H76" s="27"/>
      <c r="I76" s="27"/>
      <c r="J76" s="27"/>
      <c r="K76" s="27"/>
      <c r="L76" s="27"/>
      <c r="M76" s="27"/>
      <c r="N76" s="27"/>
      <c r="O76" s="27"/>
      <c r="P76" s="27"/>
      <c r="Q76" s="27"/>
      <c r="R76" s="27"/>
      <c r="S76" s="27"/>
      <c r="T76" s="27"/>
      <c r="U76" s="27"/>
      <c r="V76" s="27"/>
      <c r="W76" s="27"/>
      <c r="X76" s="27"/>
      <c r="Y76" s="27"/>
      <c r="Z76" s="27"/>
      <c r="AA76" s="27"/>
      <c r="AB76" s="27"/>
      <c r="AC76" s="27"/>
      <c r="AD76" s="27"/>
      <c r="AE76" s="27"/>
      <c r="AF76" s="27"/>
      <c r="AG76" s="27"/>
      <c r="AH76" s="27"/>
      <c r="AI76" s="27"/>
      <c r="AJ76" s="27"/>
      <c r="AK76" s="27"/>
      <c r="AL76" s="27"/>
      <c r="AM76" s="27"/>
      <c r="AN76" s="27"/>
      <c r="AO76" s="27"/>
      <c r="AP76" s="27"/>
      <c r="AQ76" s="27"/>
      <c r="AR76" s="27"/>
      <c r="AS76" s="27"/>
      <c r="AT76" s="27"/>
      <c r="AU76" s="27"/>
      <c r="AV76" s="27"/>
      <c r="AW76" s="27"/>
      <c r="AX76" s="27"/>
      <c r="AY76" s="27"/>
      <c r="AZ76" s="27"/>
      <c r="BA76" s="27"/>
      <c r="BB76" s="27"/>
      <c r="BC76" s="27"/>
      <c r="BD76" s="27"/>
      <c r="BE76" s="27"/>
      <c r="BF76" s="27"/>
      <c r="BG76" s="27"/>
      <c r="BH76" s="27"/>
      <c r="BI76" s="27"/>
      <c r="BJ76" s="27"/>
      <c r="BK76" s="27"/>
      <c r="BL76" s="27"/>
      <c r="BM76" s="27"/>
      <c r="BN76" s="27"/>
      <c r="BO76" s="27"/>
      <c r="BP76" s="27"/>
      <c r="BQ76" s="27"/>
      <c r="BR76" s="27"/>
      <c r="BS76" s="27"/>
      <c r="BT76" s="27"/>
      <c r="BU76" s="27"/>
      <c r="BV76" s="27"/>
      <c r="BW76" s="27"/>
      <c r="BX76" s="27"/>
      <c r="BY76" s="27"/>
      <c r="BZ76" s="27"/>
      <c r="CA76" s="27"/>
      <c r="CB76" s="27"/>
      <c r="CC76" s="27"/>
      <c r="CL76" s="24"/>
      <c r="CM76" s="24"/>
      <c r="CN76" s="24"/>
      <c r="CO76" s="24"/>
      <c r="CP76" s="24"/>
      <c r="CQ76" s="24"/>
      <c r="CR76" s="24"/>
      <c r="CS76" s="24"/>
      <c r="CT76" s="24"/>
      <c r="CU76" s="24"/>
      <c r="CV76" s="24"/>
      <c r="CW76" s="24"/>
      <c r="CX76" s="24"/>
      <c r="CY76" s="24"/>
      <c r="CZ76" s="24"/>
      <c r="DA76" s="24"/>
      <c r="DB76" s="24"/>
      <c r="DC76" s="24"/>
      <c r="DD76" s="24"/>
      <c r="DE76" s="24"/>
      <c r="DF76" s="24"/>
    </row>
    <row r="77" spans="5:110" x14ac:dyDescent="0.3">
      <c r="E77" s="27"/>
      <c r="F77" s="27"/>
      <c r="G77" s="27"/>
      <c r="H77" s="27"/>
      <c r="I77" s="27"/>
      <c r="J77" s="27"/>
      <c r="K77" s="27"/>
      <c r="L77" s="27"/>
      <c r="M77" s="27"/>
      <c r="N77" s="27"/>
      <c r="O77" s="27"/>
      <c r="P77" s="27"/>
      <c r="Q77" s="27"/>
      <c r="R77" s="27"/>
      <c r="S77" s="27"/>
      <c r="T77" s="27"/>
      <c r="U77" s="27"/>
      <c r="V77" s="27"/>
      <c r="W77" s="27"/>
      <c r="X77" s="27"/>
      <c r="Y77" s="27"/>
      <c r="Z77" s="27"/>
      <c r="AA77" s="27"/>
      <c r="AB77" s="27"/>
      <c r="AC77" s="27"/>
      <c r="AD77" s="27"/>
      <c r="AE77" s="27"/>
      <c r="AF77" s="27"/>
      <c r="AG77" s="27"/>
      <c r="AH77" s="27"/>
      <c r="AI77" s="27"/>
      <c r="AJ77" s="27"/>
      <c r="AK77" s="27"/>
      <c r="AL77" s="27"/>
      <c r="AM77" s="27"/>
      <c r="AN77" s="27"/>
      <c r="AO77" s="27"/>
      <c r="AP77" s="27"/>
      <c r="AQ77" s="27"/>
      <c r="AR77" s="27"/>
      <c r="AS77" s="27"/>
      <c r="AT77" s="27"/>
      <c r="AU77" s="27"/>
      <c r="AV77" s="27"/>
      <c r="AW77" s="27"/>
      <c r="AX77" s="27"/>
      <c r="AY77" s="27"/>
      <c r="AZ77" s="27"/>
      <c r="BA77" s="27"/>
      <c r="BB77" s="27"/>
      <c r="BC77" s="27"/>
      <c r="BD77" s="27"/>
      <c r="BE77" s="27"/>
      <c r="BF77" s="27"/>
      <c r="BG77" s="27"/>
      <c r="BH77" s="27"/>
      <c r="BI77" s="27"/>
      <c r="BJ77" s="27"/>
      <c r="BK77" s="27"/>
      <c r="BL77" s="27"/>
      <c r="BM77" s="27"/>
      <c r="BN77" s="27"/>
      <c r="BO77" s="27"/>
      <c r="BP77" s="27"/>
      <c r="BQ77" s="27"/>
      <c r="BR77" s="27"/>
      <c r="BS77" s="27"/>
      <c r="BT77" s="27"/>
      <c r="BU77" s="27"/>
      <c r="BV77" s="27"/>
      <c r="BW77" s="27"/>
      <c r="BX77" s="27"/>
      <c r="BY77" s="27"/>
      <c r="BZ77" s="27"/>
      <c r="CA77" s="27"/>
      <c r="CB77" s="27"/>
      <c r="CC77" s="27"/>
      <c r="CL77" s="24"/>
      <c r="CM77" s="24"/>
      <c r="CN77" s="24"/>
      <c r="CO77" s="24"/>
      <c r="CP77" s="24"/>
      <c r="CQ77" s="24"/>
      <c r="CR77" s="24"/>
      <c r="CS77" s="24"/>
      <c r="CT77" s="24"/>
      <c r="CU77" s="24"/>
      <c r="CV77" s="24"/>
      <c r="CW77" s="24"/>
      <c r="CX77" s="24"/>
      <c r="CY77" s="24"/>
      <c r="CZ77" s="24"/>
      <c r="DA77" s="24"/>
      <c r="DB77" s="24"/>
      <c r="DC77" s="24"/>
      <c r="DD77" s="24"/>
      <c r="DE77" s="24"/>
      <c r="DF77" s="24"/>
    </row>
    <row r="78" spans="5:110" x14ac:dyDescent="0.3">
      <c r="E78" s="27"/>
      <c r="F78" s="27"/>
      <c r="G78" s="27"/>
      <c r="H78" s="27"/>
      <c r="I78" s="27"/>
      <c r="J78" s="27"/>
      <c r="K78" s="27"/>
      <c r="L78" s="27"/>
      <c r="M78" s="27"/>
      <c r="N78" s="27"/>
      <c r="O78" s="27"/>
      <c r="P78" s="27"/>
      <c r="Q78" s="27"/>
      <c r="R78" s="27"/>
      <c r="S78" s="27"/>
      <c r="T78" s="27"/>
      <c r="U78" s="27"/>
      <c r="V78" s="27"/>
      <c r="W78" s="27"/>
      <c r="X78" s="27"/>
      <c r="Y78" s="27"/>
      <c r="Z78" s="27"/>
      <c r="AA78" s="27"/>
      <c r="AB78" s="27"/>
      <c r="AC78" s="27"/>
      <c r="AD78" s="27"/>
      <c r="AE78" s="27"/>
      <c r="AF78" s="27"/>
      <c r="AG78" s="27"/>
      <c r="AH78" s="27"/>
      <c r="AI78" s="27"/>
      <c r="AJ78" s="27"/>
      <c r="AK78" s="27"/>
      <c r="AL78" s="27"/>
      <c r="AM78" s="27"/>
      <c r="AN78" s="27"/>
      <c r="AO78" s="27"/>
      <c r="AP78" s="27"/>
      <c r="AQ78" s="27"/>
      <c r="AR78" s="27"/>
      <c r="AS78" s="27"/>
      <c r="AT78" s="27"/>
      <c r="AU78" s="27"/>
      <c r="AV78" s="27"/>
      <c r="AW78" s="27"/>
      <c r="AX78" s="27"/>
      <c r="AY78" s="27"/>
      <c r="AZ78" s="27"/>
      <c r="BA78" s="27"/>
      <c r="BB78" s="27"/>
      <c r="BC78" s="27"/>
      <c r="BD78" s="27"/>
      <c r="BE78" s="27"/>
      <c r="BF78" s="27"/>
      <c r="BG78" s="27"/>
      <c r="BH78" s="27"/>
      <c r="BI78" s="27"/>
      <c r="BJ78" s="27"/>
      <c r="BK78" s="27"/>
      <c r="BL78" s="27"/>
      <c r="BM78" s="27"/>
      <c r="BN78" s="27"/>
      <c r="BO78" s="27"/>
      <c r="BP78" s="27"/>
      <c r="BQ78" s="27"/>
      <c r="BR78" s="27"/>
      <c r="BS78" s="27"/>
      <c r="BT78" s="27"/>
      <c r="BU78" s="27"/>
      <c r="BV78" s="27"/>
      <c r="BW78" s="27"/>
      <c r="BX78" s="27"/>
      <c r="BY78" s="27"/>
      <c r="BZ78" s="27"/>
      <c r="CA78" s="27"/>
      <c r="CB78" s="27"/>
      <c r="CC78" s="27"/>
      <c r="CL78" s="24"/>
      <c r="CM78" s="24"/>
      <c r="CN78" s="24"/>
      <c r="CO78" s="24"/>
      <c r="CP78" s="24"/>
      <c r="CQ78" s="24"/>
      <c r="CR78" s="24"/>
      <c r="CS78" s="24"/>
      <c r="CT78" s="24"/>
      <c r="CU78" s="24"/>
      <c r="CV78" s="24"/>
      <c r="CW78" s="24"/>
      <c r="CX78" s="24"/>
      <c r="CY78" s="24"/>
      <c r="CZ78" s="24"/>
      <c r="DA78" s="24"/>
      <c r="DB78" s="24"/>
      <c r="DC78" s="24"/>
      <c r="DD78" s="24"/>
      <c r="DE78" s="24"/>
      <c r="DF78" s="24"/>
    </row>
    <row r="79" spans="5:110" x14ac:dyDescent="0.3">
      <c r="E79" s="27"/>
      <c r="F79" s="27"/>
      <c r="G79" s="27"/>
      <c r="H79" s="27"/>
      <c r="I79" s="27"/>
      <c r="J79" s="27"/>
      <c r="K79" s="27"/>
      <c r="L79" s="27"/>
      <c r="M79" s="27"/>
      <c r="N79" s="27"/>
      <c r="O79" s="27"/>
      <c r="P79" s="27"/>
      <c r="Q79" s="27"/>
      <c r="R79" s="27"/>
      <c r="S79" s="27"/>
      <c r="T79" s="27"/>
      <c r="U79" s="27"/>
      <c r="V79" s="27"/>
      <c r="W79" s="27"/>
      <c r="X79" s="27"/>
      <c r="Y79" s="27"/>
      <c r="Z79" s="27"/>
      <c r="AA79" s="27"/>
      <c r="AB79" s="27"/>
      <c r="AC79" s="27"/>
      <c r="AD79" s="27"/>
      <c r="AE79" s="27"/>
      <c r="AF79" s="27"/>
      <c r="AG79" s="27"/>
      <c r="AH79" s="27"/>
      <c r="AI79" s="27"/>
      <c r="AJ79" s="27"/>
      <c r="AK79" s="27"/>
      <c r="AL79" s="27"/>
      <c r="AM79" s="27"/>
      <c r="AN79" s="27"/>
      <c r="AO79" s="27"/>
      <c r="AP79" s="27"/>
      <c r="AQ79" s="27"/>
      <c r="AR79" s="27"/>
      <c r="AS79" s="27"/>
      <c r="AT79" s="27"/>
      <c r="AU79" s="27"/>
      <c r="AV79" s="27"/>
      <c r="AW79" s="27"/>
      <c r="AX79" s="27"/>
      <c r="AY79" s="27"/>
      <c r="AZ79" s="27"/>
      <c r="BA79" s="27"/>
      <c r="BB79" s="27"/>
      <c r="BC79" s="27"/>
      <c r="BD79" s="27"/>
      <c r="BE79" s="27"/>
      <c r="BF79" s="27"/>
      <c r="BG79" s="27"/>
      <c r="BH79" s="27"/>
      <c r="BI79" s="27"/>
      <c r="BJ79" s="27"/>
      <c r="BK79" s="27"/>
      <c r="BL79" s="27"/>
      <c r="BM79" s="27"/>
      <c r="BN79" s="27"/>
      <c r="BO79" s="27"/>
      <c r="BP79" s="27"/>
      <c r="BQ79" s="27"/>
      <c r="BR79" s="27"/>
      <c r="BS79" s="27"/>
      <c r="BT79" s="27"/>
      <c r="BU79" s="27"/>
      <c r="BV79" s="27"/>
      <c r="BW79" s="27"/>
      <c r="BX79" s="27"/>
      <c r="BY79" s="27"/>
      <c r="BZ79" s="27"/>
      <c r="CA79" s="27"/>
      <c r="CB79" s="27"/>
      <c r="CC79" s="27"/>
      <c r="CL79" s="24"/>
      <c r="CM79" s="24"/>
      <c r="CN79" s="24"/>
      <c r="CO79" s="24"/>
      <c r="CP79" s="24"/>
      <c r="CQ79" s="24"/>
      <c r="CR79" s="24"/>
      <c r="CS79" s="24"/>
      <c r="CT79" s="24"/>
      <c r="CU79" s="24"/>
      <c r="CV79" s="24"/>
      <c r="CW79" s="24"/>
      <c r="CX79" s="24"/>
      <c r="CY79" s="24"/>
      <c r="CZ79" s="24"/>
      <c r="DA79" s="24"/>
      <c r="DB79" s="24"/>
      <c r="DC79" s="24"/>
      <c r="DD79" s="24"/>
      <c r="DE79" s="24"/>
      <c r="DF79" s="24"/>
    </row>
    <row r="80" spans="5:110" x14ac:dyDescent="0.3">
      <c r="E80" s="27"/>
      <c r="F80" s="27"/>
      <c r="G80" s="27"/>
      <c r="H80" s="27"/>
      <c r="I80" s="27"/>
      <c r="J80" s="27"/>
      <c r="K80" s="27"/>
      <c r="L80" s="27"/>
      <c r="M80" s="27"/>
      <c r="N80" s="27"/>
      <c r="O80" s="27"/>
      <c r="P80" s="27"/>
      <c r="Q80" s="27"/>
      <c r="R80" s="27"/>
      <c r="S80" s="27"/>
      <c r="T80" s="27"/>
      <c r="U80" s="27"/>
      <c r="V80" s="27"/>
      <c r="W80" s="27"/>
      <c r="X80" s="27"/>
      <c r="Y80" s="27"/>
      <c r="Z80" s="27"/>
      <c r="AA80" s="27"/>
      <c r="AB80" s="27"/>
      <c r="AC80" s="27"/>
      <c r="AD80" s="27"/>
      <c r="AE80" s="27"/>
      <c r="AF80" s="27"/>
      <c r="AG80" s="27"/>
      <c r="AH80" s="27"/>
      <c r="AI80" s="27"/>
      <c r="AJ80" s="27"/>
      <c r="AK80" s="27"/>
      <c r="AL80" s="27"/>
      <c r="AM80" s="27"/>
      <c r="AN80" s="27"/>
      <c r="AO80" s="27"/>
      <c r="AP80" s="27"/>
      <c r="AQ80" s="27"/>
      <c r="AR80" s="27"/>
      <c r="AS80" s="27"/>
      <c r="AT80" s="27"/>
      <c r="AU80" s="27"/>
      <c r="AV80" s="27"/>
      <c r="AW80" s="27"/>
      <c r="AX80" s="27"/>
      <c r="AY80" s="27"/>
      <c r="AZ80" s="27"/>
      <c r="BA80" s="27"/>
      <c r="BB80" s="27"/>
      <c r="BC80" s="27"/>
      <c r="BD80" s="27"/>
      <c r="BE80" s="27"/>
      <c r="BF80" s="27"/>
      <c r="BG80" s="27"/>
      <c r="BH80" s="27"/>
      <c r="BI80" s="27"/>
      <c r="BJ80" s="27"/>
      <c r="BK80" s="27"/>
      <c r="BL80" s="27"/>
      <c r="BM80" s="27"/>
      <c r="BN80" s="27"/>
      <c r="BO80" s="27"/>
      <c r="BP80" s="27"/>
      <c r="BQ80" s="27"/>
      <c r="BR80" s="27"/>
      <c r="BS80" s="27"/>
      <c r="BT80" s="27"/>
      <c r="BU80" s="27"/>
      <c r="BV80" s="27"/>
      <c r="BW80" s="27"/>
      <c r="BX80" s="27"/>
      <c r="BY80" s="27"/>
      <c r="BZ80" s="27"/>
      <c r="CA80" s="27"/>
      <c r="CB80" s="27"/>
      <c r="CC80" s="27"/>
      <c r="CL80" s="24"/>
      <c r="CM80" s="24"/>
      <c r="CN80" s="24"/>
      <c r="CO80" s="24"/>
      <c r="CP80" s="24"/>
      <c r="CQ80" s="24"/>
      <c r="CR80" s="24"/>
      <c r="CS80" s="24"/>
      <c r="CT80" s="24"/>
      <c r="CU80" s="24"/>
      <c r="CV80" s="24"/>
      <c r="CW80" s="24"/>
      <c r="CX80" s="24"/>
      <c r="CY80" s="24"/>
      <c r="CZ80" s="24"/>
      <c r="DA80" s="24"/>
      <c r="DB80" s="24"/>
      <c r="DC80" s="24"/>
      <c r="DD80" s="24"/>
      <c r="DE80" s="24"/>
      <c r="DF80" s="24"/>
    </row>
    <row r="81" spans="5:110" x14ac:dyDescent="0.3">
      <c r="E81" s="27"/>
      <c r="F81" s="27"/>
      <c r="G81" s="27"/>
      <c r="H81" s="27"/>
      <c r="I81" s="27"/>
      <c r="J81" s="27"/>
      <c r="K81" s="27"/>
      <c r="L81" s="27"/>
      <c r="M81" s="27"/>
      <c r="N81" s="27"/>
      <c r="O81" s="27"/>
      <c r="P81" s="27"/>
      <c r="Q81" s="27"/>
      <c r="R81" s="27"/>
      <c r="S81" s="27"/>
      <c r="T81" s="27"/>
      <c r="U81" s="27"/>
      <c r="V81" s="27"/>
      <c r="W81" s="27"/>
      <c r="X81" s="27"/>
      <c r="Y81" s="27"/>
      <c r="Z81" s="27"/>
      <c r="AA81" s="27"/>
      <c r="AB81" s="27"/>
      <c r="AC81" s="27"/>
      <c r="AD81" s="27"/>
      <c r="AE81" s="27"/>
      <c r="AF81" s="27"/>
      <c r="AG81" s="27"/>
      <c r="AH81" s="27"/>
      <c r="AI81" s="27"/>
      <c r="AJ81" s="27"/>
      <c r="AK81" s="27"/>
      <c r="AL81" s="27"/>
      <c r="AM81" s="27"/>
      <c r="AN81" s="27"/>
      <c r="AO81" s="27"/>
      <c r="AP81" s="27"/>
      <c r="AQ81" s="27"/>
      <c r="AR81" s="27"/>
      <c r="AS81" s="27"/>
      <c r="AT81" s="27"/>
      <c r="AU81" s="27"/>
      <c r="AV81" s="27"/>
      <c r="AW81" s="27"/>
      <c r="AX81" s="27"/>
      <c r="AY81" s="27"/>
      <c r="AZ81" s="27"/>
      <c r="BA81" s="27"/>
      <c r="BB81" s="27"/>
      <c r="BC81" s="27"/>
      <c r="BD81" s="27"/>
      <c r="BE81" s="27"/>
      <c r="BF81" s="27"/>
      <c r="BG81" s="27"/>
      <c r="BH81" s="27"/>
      <c r="BI81" s="27"/>
      <c r="BJ81" s="27"/>
      <c r="BK81" s="27"/>
      <c r="BL81" s="27"/>
      <c r="BM81" s="27"/>
      <c r="BN81" s="27"/>
      <c r="BO81" s="27"/>
      <c r="BP81" s="27"/>
      <c r="BQ81" s="27"/>
      <c r="BR81" s="27"/>
      <c r="BS81" s="27"/>
      <c r="BT81" s="27"/>
      <c r="BU81" s="27"/>
      <c r="BV81" s="27"/>
      <c r="BW81" s="27"/>
      <c r="BX81" s="27"/>
      <c r="BY81" s="27"/>
      <c r="BZ81" s="27"/>
      <c r="CA81" s="27"/>
      <c r="CB81" s="27"/>
      <c r="CC81" s="27"/>
      <c r="CL81" s="24"/>
      <c r="CM81" s="24"/>
      <c r="CN81" s="24"/>
      <c r="CO81" s="24"/>
      <c r="CP81" s="24"/>
      <c r="CQ81" s="24"/>
      <c r="CR81" s="24"/>
      <c r="CS81" s="24"/>
      <c r="CT81" s="24"/>
      <c r="CU81" s="24"/>
      <c r="CV81" s="24"/>
      <c r="CW81" s="24"/>
      <c r="CX81" s="24"/>
      <c r="CY81" s="24"/>
      <c r="CZ81" s="24"/>
      <c r="DA81" s="24"/>
      <c r="DB81" s="24"/>
      <c r="DC81" s="24"/>
      <c r="DD81" s="24"/>
      <c r="DE81" s="24"/>
      <c r="DF81" s="24"/>
    </row>
    <row r="82" spans="5:110" x14ac:dyDescent="0.3">
      <c r="E82" s="27"/>
      <c r="F82" s="27"/>
      <c r="G82" s="27"/>
      <c r="H82" s="27"/>
      <c r="I82" s="27"/>
      <c r="J82" s="27"/>
      <c r="K82" s="27"/>
      <c r="L82" s="27"/>
      <c r="M82" s="27"/>
      <c r="N82" s="27"/>
      <c r="O82" s="27"/>
      <c r="P82" s="27"/>
      <c r="Q82" s="27"/>
      <c r="R82" s="27"/>
      <c r="S82" s="27"/>
      <c r="T82" s="27"/>
      <c r="U82" s="27"/>
      <c r="V82" s="27"/>
      <c r="W82" s="27"/>
      <c r="X82" s="27"/>
      <c r="Y82" s="27"/>
      <c r="Z82" s="27"/>
      <c r="AA82" s="27"/>
      <c r="AB82" s="27"/>
      <c r="AC82" s="27"/>
      <c r="AD82" s="27"/>
      <c r="AE82" s="27"/>
      <c r="AF82" s="27"/>
      <c r="AG82" s="27"/>
      <c r="AH82" s="27"/>
      <c r="AI82" s="27"/>
      <c r="AJ82" s="27"/>
      <c r="AK82" s="27"/>
      <c r="AL82" s="27"/>
      <c r="AM82" s="27"/>
      <c r="AN82" s="27"/>
      <c r="AO82" s="27"/>
      <c r="AP82" s="27"/>
      <c r="AQ82" s="27"/>
      <c r="AR82" s="27"/>
      <c r="AS82" s="27"/>
      <c r="AT82" s="27"/>
      <c r="AU82" s="27"/>
      <c r="AV82" s="27"/>
      <c r="AW82" s="27"/>
      <c r="AX82" s="27"/>
      <c r="AY82" s="27"/>
      <c r="AZ82" s="27"/>
      <c r="BA82" s="27"/>
      <c r="BB82" s="27"/>
      <c r="BC82" s="27"/>
      <c r="BD82" s="27"/>
      <c r="BE82" s="27"/>
      <c r="BF82" s="27"/>
      <c r="BG82" s="27"/>
      <c r="BH82" s="27"/>
      <c r="BI82" s="27"/>
      <c r="BJ82" s="27"/>
      <c r="BK82" s="27"/>
      <c r="BL82" s="27"/>
      <c r="BM82" s="27"/>
      <c r="BN82" s="27"/>
      <c r="BO82" s="27"/>
      <c r="BP82" s="27"/>
      <c r="BQ82" s="27"/>
      <c r="BR82" s="27"/>
      <c r="BS82" s="27"/>
      <c r="BT82" s="27"/>
      <c r="BU82" s="27"/>
      <c r="BV82" s="27"/>
      <c r="BW82" s="27"/>
      <c r="BX82" s="27"/>
      <c r="BY82" s="27"/>
      <c r="BZ82" s="27"/>
      <c r="CA82" s="27"/>
      <c r="CB82" s="27"/>
      <c r="CC82" s="27"/>
      <c r="CL82" s="24"/>
      <c r="CM82" s="24"/>
      <c r="CN82" s="24"/>
      <c r="CO82" s="24"/>
      <c r="CP82" s="24"/>
      <c r="CQ82" s="24"/>
      <c r="CR82" s="24"/>
      <c r="CS82" s="24"/>
      <c r="CT82" s="24"/>
      <c r="CU82" s="24"/>
      <c r="CV82" s="24"/>
      <c r="CW82" s="24"/>
      <c r="CX82" s="24"/>
      <c r="CY82" s="24"/>
      <c r="CZ82" s="24"/>
      <c r="DA82" s="24"/>
      <c r="DB82" s="24"/>
      <c r="DC82" s="24"/>
      <c r="DD82" s="24"/>
      <c r="DE82" s="24"/>
      <c r="DF82" s="24"/>
    </row>
    <row r="83" spans="5:110" x14ac:dyDescent="0.3">
      <c r="E83" s="27"/>
      <c r="F83" s="27"/>
      <c r="G83" s="27"/>
      <c r="H83" s="27"/>
      <c r="I83" s="27"/>
      <c r="J83" s="27"/>
      <c r="K83" s="27"/>
      <c r="L83" s="27"/>
      <c r="M83" s="27"/>
      <c r="N83" s="27"/>
      <c r="O83" s="27"/>
      <c r="P83" s="27"/>
      <c r="Q83" s="27"/>
      <c r="R83" s="27"/>
      <c r="S83" s="27"/>
      <c r="T83" s="27"/>
      <c r="U83" s="27"/>
      <c r="V83" s="27"/>
      <c r="W83" s="27"/>
      <c r="X83" s="27"/>
      <c r="Y83" s="27"/>
      <c r="Z83" s="27"/>
      <c r="AA83" s="27"/>
      <c r="AB83" s="27"/>
      <c r="AC83" s="27"/>
      <c r="AD83" s="27"/>
      <c r="AE83" s="27"/>
      <c r="AF83" s="27"/>
      <c r="AG83" s="27"/>
      <c r="AH83" s="27"/>
      <c r="AI83" s="27"/>
      <c r="AJ83" s="27"/>
      <c r="AK83" s="27"/>
      <c r="AL83" s="27"/>
      <c r="AM83" s="27"/>
      <c r="AN83" s="27"/>
      <c r="AO83" s="27"/>
      <c r="AP83" s="27"/>
      <c r="AQ83" s="27"/>
      <c r="AR83" s="27"/>
      <c r="AS83" s="27"/>
      <c r="AT83" s="27"/>
      <c r="AU83" s="27"/>
      <c r="AV83" s="27"/>
      <c r="AW83" s="27"/>
      <c r="AX83" s="27"/>
      <c r="AY83" s="27"/>
      <c r="AZ83" s="27"/>
      <c r="BA83" s="27"/>
      <c r="BB83" s="27"/>
      <c r="BC83" s="27"/>
      <c r="BD83" s="27"/>
      <c r="BE83" s="27"/>
      <c r="BF83" s="27"/>
      <c r="BG83" s="27"/>
      <c r="BH83" s="27"/>
      <c r="BI83" s="27"/>
      <c r="BJ83" s="27"/>
      <c r="BK83" s="27"/>
      <c r="BL83" s="27"/>
      <c r="BM83" s="27"/>
      <c r="BN83" s="27"/>
      <c r="BO83" s="27"/>
      <c r="BP83" s="27"/>
      <c r="BQ83" s="27"/>
      <c r="BR83" s="27"/>
      <c r="BS83" s="27"/>
      <c r="BT83" s="27"/>
      <c r="BU83" s="27"/>
      <c r="BV83" s="27"/>
      <c r="BW83" s="27"/>
      <c r="BX83" s="27"/>
      <c r="BY83" s="27"/>
      <c r="BZ83" s="27"/>
      <c r="CA83" s="27"/>
      <c r="CB83" s="27"/>
      <c r="CC83" s="27"/>
      <c r="CL83" s="24"/>
      <c r="CM83" s="24"/>
      <c r="CN83" s="24"/>
      <c r="CO83" s="24"/>
      <c r="CP83" s="24"/>
      <c r="CQ83" s="24"/>
      <c r="CR83" s="24"/>
      <c r="CS83" s="24"/>
      <c r="CT83" s="24"/>
      <c r="CU83" s="24"/>
      <c r="CV83" s="24"/>
      <c r="CW83" s="24"/>
      <c r="CX83" s="24"/>
      <c r="CY83" s="24"/>
      <c r="CZ83" s="24"/>
      <c r="DA83" s="24"/>
      <c r="DB83" s="24"/>
      <c r="DC83" s="24"/>
      <c r="DD83" s="24"/>
      <c r="DE83" s="24"/>
      <c r="DF83" s="24"/>
    </row>
    <row r="84" spans="5:110" x14ac:dyDescent="0.3">
      <c r="E84" s="27"/>
      <c r="F84" s="27"/>
      <c r="G84" s="27"/>
      <c r="H84" s="27"/>
      <c r="I84" s="27"/>
      <c r="J84" s="27"/>
      <c r="K84" s="27"/>
      <c r="L84" s="27"/>
      <c r="M84" s="27"/>
      <c r="N84" s="27"/>
      <c r="O84" s="27"/>
      <c r="P84" s="27"/>
      <c r="Q84" s="27"/>
      <c r="R84" s="27"/>
      <c r="S84" s="27"/>
      <c r="T84" s="27"/>
      <c r="U84" s="27"/>
      <c r="V84" s="27"/>
      <c r="W84" s="27"/>
      <c r="X84" s="27"/>
      <c r="Y84" s="27"/>
      <c r="Z84" s="27"/>
      <c r="AA84" s="27"/>
      <c r="AB84" s="27"/>
      <c r="AC84" s="27"/>
      <c r="AD84" s="27"/>
      <c r="AE84" s="27"/>
      <c r="AF84" s="27"/>
      <c r="AG84" s="27"/>
      <c r="AH84" s="27"/>
      <c r="AI84" s="27"/>
      <c r="AJ84" s="27"/>
      <c r="AK84" s="27"/>
      <c r="AL84" s="27"/>
      <c r="AM84" s="27"/>
      <c r="AN84" s="27"/>
      <c r="AO84" s="27"/>
      <c r="AP84" s="27"/>
      <c r="AQ84" s="27"/>
      <c r="AR84" s="27"/>
      <c r="AS84" s="27"/>
      <c r="AT84" s="27"/>
      <c r="AU84" s="27"/>
      <c r="AV84" s="27"/>
      <c r="AW84" s="27"/>
      <c r="AX84" s="27"/>
      <c r="AY84" s="27"/>
      <c r="AZ84" s="27"/>
      <c r="BA84" s="27"/>
      <c r="BB84" s="27"/>
      <c r="BC84" s="27"/>
      <c r="BD84" s="27"/>
      <c r="BE84" s="27"/>
      <c r="BF84" s="27"/>
      <c r="BG84" s="27"/>
      <c r="BH84" s="27"/>
      <c r="BI84" s="27"/>
      <c r="BJ84" s="27"/>
      <c r="BK84" s="27"/>
      <c r="BL84" s="27"/>
      <c r="BM84" s="27"/>
      <c r="BN84" s="27"/>
      <c r="BO84" s="27"/>
      <c r="BP84" s="27"/>
      <c r="BQ84" s="27"/>
      <c r="BR84" s="27"/>
      <c r="BS84" s="27"/>
      <c r="BT84" s="27"/>
      <c r="BU84" s="27"/>
      <c r="BV84" s="27"/>
      <c r="BW84" s="27"/>
      <c r="BX84" s="27"/>
      <c r="BY84" s="27"/>
      <c r="BZ84" s="27"/>
      <c r="CA84" s="27"/>
      <c r="CB84" s="27"/>
      <c r="CC84" s="27"/>
      <c r="CL84" s="24"/>
      <c r="CM84" s="24"/>
      <c r="CN84" s="24"/>
      <c r="CO84" s="24"/>
      <c r="CP84" s="24"/>
      <c r="CQ84" s="24"/>
      <c r="CR84" s="24"/>
      <c r="CS84" s="24"/>
      <c r="CT84" s="24"/>
      <c r="CU84" s="24"/>
      <c r="CV84" s="24"/>
      <c r="CW84" s="24"/>
      <c r="CX84" s="24"/>
      <c r="CY84" s="24"/>
      <c r="CZ84" s="24"/>
      <c r="DA84" s="24"/>
      <c r="DB84" s="24"/>
      <c r="DC84" s="24"/>
      <c r="DD84" s="24"/>
      <c r="DE84" s="24"/>
      <c r="DF84" s="24"/>
    </row>
    <row r="85" spans="5:110" x14ac:dyDescent="0.3">
      <c r="E85" s="27"/>
      <c r="F85" s="27"/>
      <c r="G85" s="27"/>
      <c r="H85" s="27"/>
      <c r="I85" s="27"/>
      <c r="J85" s="27"/>
      <c r="K85" s="27"/>
      <c r="L85" s="27"/>
      <c r="M85" s="27"/>
      <c r="N85" s="27"/>
      <c r="O85" s="27"/>
      <c r="P85" s="27"/>
      <c r="Q85" s="27"/>
      <c r="R85" s="27"/>
      <c r="S85" s="27"/>
      <c r="T85" s="27"/>
      <c r="U85" s="27"/>
      <c r="V85" s="27"/>
      <c r="W85" s="27"/>
      <c r="X85" s="27"/>
      <c r="Y85" s="27"/>
      <c r="Z85" s="27"/>
      <c r="AA85" s="27"/>
      <c r="AB85" s="27"/>
      <c r="AC85" s="27"/>
      <c r="AD85" s="27"/>
      <c r="AE85" s="27"/>
      <c r="AF85" s="27"/>
      <c r="AG85" s="27"/>
      <c r="AH85" s="27"/>
      <c r="AI85" s="27"/>
      <c r="AJ85" s="27"/>
      <c r="AK85" s="27"/>
      <c r="AL85" s="27"/>
      <c r="AM85" s="27"/>
      <c r="AN85" s="27"/>
      <c r="AO85" s="27"/>
      <c r="AP85" s="27"/>
      <c r="AQ85" s="27"/>
      <c r="AR85" s="27"/>
      <c r="AS85" s="27"/>
      <c r="AT85" s="27"/>
      <c r="AU85" s="27"/>
      <c r="AV85" s="27"/>
      <c r="AW85" s="27"/>
      <c r="AX85" s="27"/>
      <c r="AY85" s="27"/>
      <c r="AZ85" s="27"/>
      <c r="BA85" s="27"/>
      <c r="BB85" s="27"/>
      <c r="BC85" s="27"/>
      <c r="BD85" s="27"/>
      <c r="BE85" s="27"/>
      <c r="BF85" s="27"/>
      <c r="BG85" s="27"/>
      <c r="BH85" s="27"/>
      <c r="BI85" s="27"/>
      <c r="BJ85" s="27"/>
      <c r="BK85" s="27"/>
      <c r="BL85" s="27"/>
      <c r="BM85" s="27"/>
      <c r="BN85" s="27"/>
      <c r="BO85" s="27"/>
      <c r="BP85" s="27"/>
      <c r="BQ85" s="27"/>
      <c r="BR85" s="27"/>
      <c r="BS85" s="27"/>
      <c r="BT85" s="27"/>
      <c r="BU85" s="27"/>
      <c r="BV85" s="27"/>
      <c r="BW85" s="27"/>
      <c r="BX85" s="27"/>
      <c r="BY85" s="27"/>
      <c r="BZ85" s="27"/>
      <c r="CA85" s="27"/>
      <c r="CB85" s="27"/>
      <c r="CC85" s="27"/>
      <c r="CL85" s="24"/>
      <c r="CM85" s="24"/>
      <c r="CN85" s="24"/>
      <c r="CO85" s="24"/>
      <c r="CP85" s="24"/>
      <c r="CQ85" s="24"/>
      <c r="CR85" s="24"/>
      <c r="CS85" s="24"/>
      <c r="CT85" s="24"/>
      <c r="CU85" s="24"/>
      <c r="CV85" s="24"/>
      <c r="CW85" s="24"/>
      <c r="CX85" s="24"/>
      <c r="CY85" s="24"/>
      <c r="CZ85" s="24"/>
      <c r="DA85" s="24"/>
      <c r="DB85" s="24"/>
      <c r="DC85" s="24"/>
      <c r="DD85" s="24"/>
      <c r="DE85" s="24"/>
      <c r="DF85" s="24"/>
    </row>
    <row r="86" spans="5:110" x14ac:dyDescent="0.3">
      <c r="E86" s="27"/>
      <c r="F86" s="27"/>
      <c r="G86" s="27"/>
      <c r="H86" s="27"/>
      <c r="I86" s="27"/>
      <c r="J86" s="27"/>
      <c r="K86" s="27"/>
      <c r="L86" s="27"/>
      <c r="M86" s="27"/>
      <c r="N86" s="27"/>
      <c r="O86" s="27"/>
      <c r="P86" s="27"/>
      <c r="Q86" s="27"/>
      <c r="R86" s="27"/>
      <c r="S86" s="27"/>
      <c r="T86" s="27"/>
      <c r="U86" s="27"/>
      <c r="V86" s="27"/>
      <c r="W86" s="27"/>
      <c r="X86" s="27"/>
      <c r="Y86" s="27"/>
      <c r="Z86" s="27"/>
      <c r="AA86" s="27"/>
      <c r="AB86" s="27"/>
      <c r="AC86" s="27"/>
      <c r="AD86" s="27"/>
      <c r="AE86" s="27"/>
      <c r="AF86" s="27"/>
      <c r="AG86" s="27"/>
      <c r="AH86" s="27"/>
      <c r="AI86" s="27"/>
      <c r="AJ86" s="27"/>
      <c r="AK86" s="27"/>
      <c r="AL86" s="27"/>
      <c r="AM86" s="27"/>
      <c r="AN86" s="27"/>
      <c r="AO86" s="27"/>
      <c r="AP86" s="27"/>
      <c r="AQ86" s="27"/>
      <c r="AR86" s="27"/>
      <c r="AS86" s="27"/>
      <c r="AT86" s="27"/>
      <c r="AU86" s="27"/>
      <c r="AV86" s="27"/>
      <c r="AW86" s="27"/>
      <c r="AX86" s="27"/>
      <c r="AY86" s="27"/>
      <c r="AZ86" s="27"/>
      <c r="BA86" s="27"/>
      <c r="BB86" s="27"/>
      <c r="BC86" s="27"/>
      <c r="BD86" s="27"/>
      <c r="BE86" s="27"/>
      <c r="BF86" s="27"/>
      <c r="BG86" s="27"/>
      <c r="BH86" s="27"/>
      <c r="BI86" s="27"/>
      <c r="BJ86" s="27"/>
      <c r="BK86" s="27"/>
      <c r="BL86" s="27"/>
      <c r="BM86" s="27"/>
      <c r="BN86" s="27"/>
      <c r="BO86" s="27"/>
      <c r="BP86" s="27"/>
      <c r="BQ86" s="27"/>
      <c r="BR86" s="27"/>
      <c r="BS86" s="27"/>
      <c r="BT86" s="27"/>
      <c r="BU86" s="27"/>
      <c r="BV86" s="27"/>
      <c r="BW86" s="27"/>
      <c r="BX86" s="27"/>
      <c r="BY86" s="27"/>
      <c r="BZ86" s="27"/>
      <c r="CA86" s="27"/>
      <c r="CB86" s="27"/>
      <c r="CC86" s="27"/>
      <c r="CL86" s="24"/>
      <c r="CM86" s="24"/>
      <c r="CN86" s="24"/>
      <c r="CO86" s="24"/>
      <c r="CP86" s="24"/>
      <c r="CQ86" s="24"/>
      <c r="CR86" s="24"/>
      <c r="CS86" s="24"/>
      <c r="CT86" s="24"/>
      <c r="CU86" s="24"/>
      <c r="CV86" s="24"/>
      <c r="CW86" s="24"/>
      <c r="CX86" s="24"/>
      <c r="CY86" s="24"/>
      <c r="CZ86" s="24"/>
      <c r="DA86" s="24"/>
      <c r="DB86" s="24"/>
      <c r="DC86" s="24"/>
      <c r="DD86" s="24"/>
      <c r="DE86" s="24"/>
      <c r="DF86" s="24"/>
    </row>
    <row r="87" spans="5:110" x14ac:dyDescent="0.3">
      <c r="E87" s="27"/>
      <c r="F87" s="27"/>
      <c r="G87" s="27"/>
      <c r="H87" s="27"/>
      <c r="I87" s="27"/>
      <c r="J87" s="27"/>
      <c r="K87" s="27"/>
      <c r="L87" s="27"/>
      <c r="M87" s="27"/>
      <c r="N87" s="27"/>
      <c r="O87" s="27"/>
      <c r="P87" s="27"/>
      <c r="Q87" s="27"/>
      <c r="R87" s="27"/>
      <c r="S87" s="27"/>
      <c r="T87" s="27"/>
      <c r="U87" s="27"/>
      <c r="V87" s="27"/>
      <c r="W87" s="27"/>
      <c r="X87" s="27"/>
      <c r="Y87" s="27"/>
      <c r="Z87" s="27"/>
      <c r="AA87" s="27"/>
      <c r="AB87" s="27"/>
      <c r="AC87" s="27"/>
      <c r="AD87" s="27"/>
      <c r="AE87" s="27"/>
      <c r="AF87" s="27"/>
      <c r="AG87" s="27"/>
      <c r="AH87" s="27"/>
      <c r="AI87" s="27"/>
      <c r="AJ87" s="27"/>
      <c r="AK87" s="27"/>
      <c r="AL87" s="27"/>
      <c r="AM87" s="27"/>
      <c r="AN87" s="27"/>
      <c r="AO87" s="27"/>
      <c r="AP87" s="27"/>
      <c r="AQ87" s="27"/>
      <c r="AR87" s="27"/>
      <c r="AS87" s="27"/>
      <c r="AT87" s="27"/>
      <c r="AU87" s="27"/>
      <c r="AV87" s="27"/>
      <c r="AW87" s="27"/>
      <c r="AX87" s="27"/>
      <c r="AY87" s="27"/>
      <c r="AZ87" s="27"/>
      <c r="BA87" s="27"/>
      <c r="BB87" s="27"/>
      <c r="BC87" s="27"/>
      <c r="BD87" s="27"/>
      <c r="BE87" s="27"/>
      <c r="BF87" s="27"/>
      <c r="BG87" s="27"/>
      <c r="BH87" s="27"/>
      <c r="BI87" s="27"/>
      <c r="BJ87" s="27"/>
      <c r="BK87" s="27"/>
      <c r="BL87" s="27"/>
      <c r="BM87" s="27"/>
      <c r="BN87" s="27"/>
      <c r="BO87" s="27"/>
      <c r="BP87" s="27"/>
      <c r="BQ87" s="27"/>
      <c r="BR87" s="27"/>
      <c r="BS87" s="27"/>
      <c r="BT87" s="27"/>
      <c r="BU87" s="27"/>
      <c r="BV87" s="27"/>
      <c r="BW87" s="27"/>
      <c r="BX87" s="27"/>
      <c r="BY87" s="27"/>
      <c r="BZ87" s="27"/>
      <c r="CA87" s="27"/>
      <c r="CB87" s="27"/>
      <c r="CC87" s="27"/>
      <c r="CL87" s="24"/>
      <c r="CM87" s="24"/>
      <c r="CN87" s="24"/>
      <c r="CO87" s="24"/>
      <c r="CP87" s="24"/>
      <c r="CQ87" s="24"/>
      <c r="CR87" s="24"/>
      <c r="CS87" s="24"/>
      <c r="CT87" s="24"/>
      <c r="CU87" s="24"/>
      <c r="CV87" s="24"/>
      <c r="CW87" s="24"/>
      <c r="CX87" s="24"/>
      <c r="CY87" s="24"/>
      <c r="CZ87" s="24"/>
      <c r="DA87" s="24"/>
      <c r="DB87" s="24"/>
      <c r="DC87" s="24"/>
      <c r="DD87" s="24"/>
      <c r="DE87" s="24"/>
      <c r="DF87" s="24"/>
    </row>
    <row r="88" spans="5:110" x14ac:dyDescent="0.3">
      <c r="E88" s="27"/>
      <c r="F88" s="27"/>
      <c r="G88" s="27"/>
      <c r="H88" s="27"/>
      <c r="I88" s="27"/>
      <c r="J88" s="27"/>
      <c r="K88" s="27"/>
      <c r="L88" s="27"/>
      <c r="M88" s="27"/>
      <c r="N88" s="27"/>
      <c r="O88" s="27"/>
      <c r="P88" s="27"/>
      <c r="Q88" s="27"/>
      <c r="R88" s="27"/>
      <c r="S88" s="27"/>
      <c r="T88" s="27"/>
      <c r="U88" s="27"/>
      <c r="V88" s="27"/>
      <c r="W88" s="27"/>
      <c r="X88" s="27"/>
      <c r="Y88" s="27"/>
      <c r="Z88" s="27"/>
      <c r="AA88" s="27"/>
      <c r="AB88" s="27"/>
      <c r="AC88" s="27"/>
      <c r="AD88" s="27"/>
      <c r="AE88" s="27"/>
      <c r="AF88" s="27"/>
      <c r="AG88" s="27"/>
      <c r="AH88" s="27"/>
      <c r="AI88" s="27"/>
      <c r="AJ88" s="27"/>
      <c r="AK88" s="27"/>
      <c r="AL88" s="27"/>
      <c r="AM88" s="27"/>
      <c r="AN88" s="27"/>
      <c r="AO88" s="27"/>
      <c r="AP88" s="27"/>
      <c r="AQ88" s="27"/>
      <c r="AR88" s="27"/>
      <c r="AS88" s="27"/>
      <c r="AT88" s="27"/>
      <c r="AU88" s="27"/>
      <c r="AV88" s="27"/>
      <c r="AW88" s="27"/>
      <c r="AX88" s="27"/>
      <c r="AY88" s="27"/>
      <c r="AZ88" s="27"/>
      <c r="BA88" s="27"/>
      <c r="BB88" s="27"/>
      <c r="BC88" s="27"/>
      <c r="BD88" s="27"/>
      <c r="BE88" s="27"/>
      <c r="BF88" s="27"/>
      <c r="BG88" s="27"/>
      <c r="BH88" s="27"/>
      <c r="BI88" s="27"/>
      <c r="BJ88" s="27"/>
      <c r="BK88" s="27"/>
      <c r="BL88" s="27"/>
      <c r="BM88" s="27"/>
      <c r="BN88" s="27"/>
      <c r="BO88" s="27"/>
      <c r="BP88" s="27"/>
      <c r="BQ88" s="27"/>
      <c r="BR88" s="27"/>
      <c r="BS88" s="27"/>
      <c r="BT88" s="27"/>
      <c r="BU88" s="27"/>
      <c r="BV88" s="27"/>
      <c r="BW88" s="27"/>
      <c r="BX88" s="27"/>
      <c r="BY88" s="27"/>
      <c r="BZ88" s="27"/>
      <c r="CA88" s="27"/>
      <c r="CB88" s="27"/>
      <c r="CC88" s="27"/>
      <c r="CL88" s="24"/>
      <c r="CM88" s="24"/>
      <c r="CN88" s="24"/>
      <c r="CO88" s="24"/>
      <c r="CP88" s="24"/>
      <c r="CQ88" s="24"/>
      <c r="CR88" s="24"/>
      <c r="CS88" s="24"/>
      <c r="CT88" s="24"/>
      <c r="CU88" s="24"/>
      <c r="CV88" s="24"/>
      <c r="CW88" s="24"/>
      <c r="CX88" s="24"/>
      <c r="CY88" s="24"/>
      <c r="CZ88" s="24"/>
      <c r="DA88" s="24"/>
      <c r="DB88" s="24"/>
      <c r="DC88" s="24"/>
      <c r="DD88" s="24"/>
      <c r="DE88" s="24"/>
      <c r="DF88" s="24"/>
    </row>
    <row r="89" spans="5:110" x14ac:dyDescent="0.3">
      <c r="E89" s="27"/>
      <c r="F89" s="27"/>
      <c r="G89" s="27"/>
      <c r="H89" s="27"/>
      <c r="I89" s="27"/>
      <c r="J89" s="27"/>
      <c r="K89" s="27"/>
      <c r="L89" s="27"/>
      <c r="M89" s="27"/>
      <c r="N89" s="27"/>
      <c r="O89" s="27"/>
      <c r="P89" s="27"/>
      <c r="Q89" s="27"/>
      <c r="R89" s="27"/>
      <c r="S89" s="27"/>
      <c r="T89" s="27"/>
      <c r="U89" s="27"/>
      <c r="V89" s="27"/>
      <c r="W89" s="27"/>
      <c r="X89" s="27"/>
      <c r="Y89" s="27"/>
      <c r="Z89" s="27"/>
      <c r="AA89" s="27"/>
      <c r="AB89" s="27"/>
      <c r="AC89" s="27"/>
      <c r="AD89" s="27"/>
      <c r="AE89" s="27"/>
      <c r="AF89" s="27"/>
      <c r="AG89" s="27"/>
      <c r="AH89" s="27"/>
      <c r="AI89" s="27"/>
      <c r="AJ89" s="27"/>
      <c r="AK89" s="27"/>
      <c r="AL89" s="27"/>
      <c r="AM89" s="27"/>
      <c r="AN89" s="27"/>
      <c r="AO89" s="27"/>
      <c r="AP89" s="27"/>
      <c r="AQ89" s="27"/>
      <c r="AR89" s="27"/>
      <c r="AS89" s="27"/>
      <c r="AT89" s="27"/>
      <c r="AU89" s="27"/>
      <c r="AV89" s="27"/>
      <c r="AW89" s="27"/>
      <c r="AX89" s="27"/>
      <c r="AY89" s="27"/>
      <c r="AZ89" s="27"/>
      <c r="BA89" s="27"/>
      <c r="BB89" s="27"/>
      <c r="BC89" s="27"/>
      <c r="BD89" s="27"/>
      <c r="BE89" s="27"/>
      <c r="BF89" s="27"/>
      <c r="BG89" s="27"/>
      <c r="BH89" s="27"/>
      <c r="BI89" s="27"/>
      <c r="BJ89" s="27"/>
      <c r="BK89" s="27"/>
      <c r="BL89" s="27"/>
      <c r="BM89" s="27"/>
      <c r="BN89" s="27"/>
      <c r="BO89" s="27"/>
      <c r="BP89" s="27"/>
      <c r="BQ89" s="27"/>
      <c r="BR89" s="27"/>
      <c r="BS89" s="27"/>
      <c r="BT89" s="27"/>
      <c r="BU89" s="27"/>
      <c r="BV89" s="27"/>
      <c r="BW89" s="27"/>
      <c r="BX89" s="27"/>
      <c r="BY89" s="27"/>
      <c r="BZ89" s="27"/>
      <c r="CA89" s="27"/>
      <c r="CB89" s="27"/>
      <c r="CC89" s="27"/>
      <c r="CL89" s="24"/>
      <c r="CM89" s="24"/>
      <c r="CN89" s="24"/>
      <c r="CO89" s="24"/>
      <c r="CP89" s="24"/>
      <c r="CQ89" s="24"/>
      <c r="CR89" s="24"/>
      <c r="CS89" s="24"/>
      <c r="CT89" s="24"/>
      <c r="CU89" s="24"/>
      <c r="CV89" s="24"/>
      <c r="CW89" s="24"/>
      <c r="CX89" s="24"/>
      <c r="CY89" s="24"/>
      <c r="CZ89" s="24"/>
      <c r="DA89" s="24"/>
      <c r="DB89" s="24"/>
      <c r="DC89" s="24"/>
      <c r="DD89" s="24"/>
      <c r="DE89" s="24"/>
      <c r="DF89" s="24"/>
    </row>
    <row r="90" spans="5:110" x14ac:dyDescent="0.3">
      <c r="E90" s="27"/>
      <c r="F90" s="27"/>
      <c r="G90" s="27"/>
      <c r="H90" s="27"/>
      <c r="I90" s="27"/>
      <c r="J90" s="27"/>
      <c r="K90" s="27"/>
      <c r="L90" s="27"/>
      <c r="M90" s="27"/>
      <c r="N90" s="27"/>
      <c r="O90" s="27"/>
      <c r="P90" s="27"/>
      <c r="Q90" s="27"/>
      <c r="R90" s="27"/>
      <c r="S90" s="27"/>
      <c r="T90" s="27"/>
      <c r="U90" s="27"/>
      <c r="V90" s="27"/>
      <c r="W90" s="27"/>
      <c r="X90" s="27"/>
      <c r="Y90" s="27"/>
      <c r="Z90" s="27"/>
      <c r="AA90" s="27"/>
      <c r="AB90" s="27"/>
      <c r="AC90" s="27"/>
      <c r="AD90" s="27"/>
      <c r="AE90" s="27"/>
      <c r="AF90" s="27"/>
      <c r="AG90" s="27"/>
      <c r="AH90" s="27"/>
      <c r="AI90" s="27"/>
      <c r="AJ90" s="27"/>
      <c r="AK90" s="27"/>
      <c r="AL90" s="27"/>
      <c r="AM90" s="27"/>
      <c r="AN90" s="27"/>
      <c r="AO90" s="27"/>
      <c r="AP90" s="27"/>
      <c r="AQ90" s="27"/>
      <c r="AR90" s="27"/>
      <c r="AS90" s="27"/>
      <c r="AT90" s="27"/>
      <c r="AU90" s="27"/>
      <c r="AV90" s="27"/>
      <c r="AW90" s="27"/>
      <c r="AX90" s="27"/>
      <c r="AY90" s="27"/>
      <c r="AZ90" s="27"/>
      <c r="BA90" s="27"/>
      <c r="BB90" s="27"/>
      <c r="BC90" s="27"/>
      <c r="BD90" s="27"/>
      <c r="BE90" s="27"/>
      <c r="BF90" s="27"/>
      <c r="BG90" s="27"/>
      <c r="BH90" s="27"/>
      <c r="BI90" s="27"/>
      <c r="BJ90" s="27"/>
      <c r="BK90" s="27"/>
      <c r="BL90" s="27"/>
      <c r="BM90" s="27"/>
      <c r="BN90" s="27"/>
      <c r="BO90" s="27"/>
      <c r="BP90" s="27"/>
      <c r="BQ90" s="27"/>
      <c r="BR90" s="27"/>
      <c r="BS90" s="27"/>
      <c r="BT90" s="27"/>
      <c r="BU90" s="27"/>
      <c r="BV90" s="27"/>
      <c r="BW90" s="27"/>
      <c r="BX90" s="27"/>
      <c r="BY90" s="27"/>
      <c r="BZ90" s="27"/>
      <c r="CA90" s="27"/>
      <c r="CB90" s="27"/>
      <c r="CC90" s="27"/>
      <c r="CL90" s="24"/>
      <c r="CM90" s="24"/>
      <c r="CN90" s="24"/>
      <c r="CO90" s="24"/>
      <c r="CP90" s="24"/>
      <c r="CQ90" s="24"/>
      <c r="CR90" s="24"/>
      <c r="CS90" s="24"/>
      <c r="CT90" s="24"/>
      <c r="CU90" s="24"/>
      <c r="CV90" s="24"/>
      <c r="CW90" s="24"/>
      <c r="CX90" s="24"/>
      <c r="CY90" s="24"/>
      <c r="CZ90" s="24"/>
      <c r="DA90" s="24"/>
      <c r="DB90" s="24"/>
      <c r="DC90" s="24"/>
      <c r="DD90" s="24"/>
      <c r="DE90" s="24"/>
      <c r="DF90" s="24"/>
    </row>
    <row r="91" spans="5:110" x14ac:dyDescent="0.3">
      <c r="E91" s="27"/>
      <c r="F91" s="27"/>
      <c r="G91" s="27"/>
      <c r="H91" s="27"/>
      <c r="I91" s="27"/>
      <c r="J91" s="27"/>
      <c r="K91" s="27"/>
      <c r="L91" s="27"/>
      <c r="M91" s="27"/>
      <c r="N91" s="27"/>
      <c r="O91" s="27"/>
      <c r="P91" s="27"/>
      <c r="Q91" s="27"/>
      <c r="R91" s="27"/>
      <c r="S91" s="27"/>
      <c r="T91" s="27"/>
      <c r="U91" s="27"/>
      <c r="V91" s="27"/>
      <c r="W91" s="27"/>
      <c r="X91" s="27"/>
      <c r="Y91" s="27"/>
      <c r="Z91" s="27"/>
      <c r="AA91" s="27"/>
      <c r="AB91" s="27"/>
      <c r="AC91" s="27"/>
      <c r="AD91" s="27"/>
      <c r="AE91" s="27"/>
      <c r="AF91" s="27"/>
      <c r="AG91" s="27"/>
      <c r="AH91" s="27"/>
      <c r="AI91" s="27"/>
      <c r="AJ91" s="27"/>
      <c r="AK91" s="27"/>
      <c r="AL91" s="27"/>
      <c r="AM91" s="27"/>
      <c r="AN91" s="27"/>
      <c r="AO91" s="27"/>
      <c r="AP91" s="27"/>
      <c r="AQ91" s="27"/>
      <c r="AR91" s="27"/>
      <c r="AS91" s="27"/>
      <c r="AT91" s="27"/>
      <c r="AU91" s="27"/>
      <c r="AV91" s="27"/>
      <c r="AW91" s="27"/>
      <c r="AX91" s="27"/>
      <c r="AY91" s="27"/>
      <c r="AZ91" s="27"/>
      <c r="BA91" s="27"/>
      <c r="BB91" s="27"/>
      <c r="BC91" s="27"/>
      <c r="BD91" s="27"/>
      <c r="BE91" s="27"/>
      <c r="BF91" s="27"/>
      <c r="BG91" s="27"/>
      <c r="BH91" s="27"/>
      <c r="BI91" s="27"/>
      <c r="BJ91" s="27"/>
      <c r="BK91" s="27"/>
      <c r="BL91" s="27"/>
      <c r="BM91" s="27"/>
      <c r="BN91" s="27"/>
      <c r="BO91" s="27"/>
      <c r="BP91" s="27"/>
      <c r="BQ91" s="27"/>
      <c r="BR91" s="27"/>
      <c r="BS91" s="27"/>
      <c r="BT91" s="27"/>
      <c r="BU91" s="27"/>
      <c r="BV91" s="27"/>
      <c r="BW91" s="27"/>
      <c r="BX91" s="27"/>
      <c r="BY91" s="27"/>
      <c r="BZ91" s="27"/>
      <c r="CA91" s="27"/>
      <c r="CB91" s="27"/>
      <c r="CC91" s="27"/>
      <c r="CL91" s="24"/>
      <c r="CM91" s="24"/>
      <c r="CN91" s="24"/>
      <c r="CO91" s="24"/>
      <c r="CP91" s="24"/>
      <c r="CQ91" s="24"/>
      <c r="CR91" s="24"/>
      <c r="CS91" s="24"/>
      <c r="CT91" s="24"/>
      <c r="CU91" s="24"/>
      <c r="CV91" s="24"/>
      <c r="CW91" s="24"/>
      <c r="CX91" s="24"/>
      <c r="CY91" s="24"/>
      <c r="CZ91" s="24"/>
      <c r="DA91" s="24"/>
      <c r="DB91" s="24"/>
      <c r="DC91" s="24"/>
      <c r="DD91" s="24"/>
      <c r="DE91" s="24"/>
      <c r="DF91" s="24"/>
    </row>
    <row r="92" spans="5:110" x14ac:dyDescent="0.3">
      <c r="E92" s="27"/>
      <c r="F92" s="27"/>
      <c r="G92" s="27"/>
      <c r="H92" s="27"/>
      <c r="I92" s="27"/>
      <c r="J92" s="27"/>
      <c r="K92" s="27"/>
      <c r="L92" s="27"/>
      <c r="M92" s="27"/>
      <c r="N92" s="27"/>
      <c r="O92" s="27"/>
      <c r="P92" s="27"/>
      <c r="Q92" s="27"/>
      <c r="R92" s="27"/>
      <c r="S92" s="27"/>
      <c r="T92" s="27"/>
      <c r="U92" s="27"/>
      <c r="V92" s="27"/>
      <c r="W92" s="27"/>
      <c r="X92" s="27"/>
      <c r="Y92" s="27"/>
      <c r="Z92" s="27"/>
      <c r="AA92" s="27"/>
      <c r="AB92" s="27"/>
      <c r="AC92" s="27"/>
      <c r="AD92" s="27"/>
      <c r="AE92" s="27"/>
      <c r="AF92" s="27"/>
      <c r="AG92" s="27"/>
      <c r="AH92" s="27"/>
      <c r="AI92" s="27"/>
      <c r="AJ92" s="27"/>
      <c r="AK92" s="27"/>
      <c r="AL92" s="27"/>
      <c r="AM92" s="27"/>
      <c r="AN92" s="27"/>
      <c r="AO92" s="27"/>
      <c r="AP92" s="27"/>
      <c r="AQ92" s="27"/>
      <c r="AR92" s="27"/>
      <c r="AS92" s="27"/>
      <c r="AT92" s="27"/>
      <c r="AU92" s="27"/>
      <c r="AV92" s="27"/>
      <c r="AW92" s="27"/>
      <c r="AX92" s="27"/>
      <c r="AY92" s="27"/>
      <c r="AZ92" s="27"/>
      <c r="BA92" s="27"/>
      <c r="BB92" s="27"/>
      <c r="BC92" s="27"/>
      <c r="BD92" s="27"/>
      <c r="BE92" s="27"/>
      <c r="BF92" s="27"/>
      <c r="BG92" s="27"/>
      <c r="BH92" s="27"/>
      <c r="BI92" s="27"/>
      <c r="BJ92" s="27"/>
      <c r="BK92" s="27"/>
      <c r="BL92" s="27"/>
      <c r="BM92" s="27"/>
      <c r="BN92" s="27"/>
      <c r="BO92" s="27"/>
      <c r="BP92" s="27"/>
      <c r="BQ92" s="27"/>
      <c r="BR92" s="27"/>
      <c r="BS92" s="27"/>
      <c r="BT92" s="27"/>
      <c r="BU92" s="27"/>
      <c r="BV92" s="27"/>
      <c r="BW92" s="27"/>
      <c r="BX92" s="27"/>
      <c r="BY92" s="27"/>
      <c r="BZ92" s="27"/>
      <c r="CA92" s="27"/>
      <c r="CB92" s="27"/>
      <c r="CC92" s="27"/>
      <c r="CL92" s="24"/>
      <c r="CM92" s="24"/>
      <c r="CN92" s="24"/>
      <c r="CO92" s="24"/>
      <c r="CP92" s="24"/>
      <c r="CQ92" s="24"/>
      <c r="CR92" s="24"/>
      <c r="CS92" s="24"/>
      <c r="CT92" s="24"/>
      <c r="CU92" s="24"/>
      <c r="CV92" s="24"/>
      <c r="CW92" s="24"/>
      <c r="CX92" s="24"/>
      <c r="CY92" s="24"/>
      <c r="CZ92" s="24"/>
      <c r="DA92" s="24"/>
      <c r="DB92" s="24"/>
      <c r="DC92" s="24"/>
      <c r="DD92" s="24"/>
      <c r="DE92" s="24"/>
      <c r="DF92" s="24"/>
    </row>
    <row r="93" spans="5:110" x14ac:dyDescent="0.3">
      <c r="E93" s="27"/>
      <c r="F93" s="27"/>
      <c r="G93" s="27"/>
      <c r="H93" s="27"/>
      <c r="I93" s="27"/>
      <c r="J93" s="27"/>
      <c r="K93" s="27"/>
      <c r="L93" s="27"/>
      <c r="M93" s="27"/>
      <c r="N93" s="27"/>
      <c r="O93" s="27"/>
      <c r="P93" s="27"/>
      <c r="Q93" s="27"/>
      <c r="R93" s="27"/>
      <c r="S93" s="27"/>
      <c r="T93" s="27"/>
      <c r="U93" s="27"/>
      <c r="V93" s="27"/>
      <c r="W93" s="27"/>
      <c r="X93" s="27"/>
      <c r="Y93" s="27"/>
      <c r="Z93" s="27"/>
      <c r="AA93" s="27"/>
      <c r="AB93" s="27"/>
      <c r="AC93" s="27"/>
      <c r="AD93" s="27"/>
      <c r="AE93" s="27"/>
      <c r="AF93" s="27"/>
      <c r="AG93" s="27"/>
      <c r="AH93" s="27"/>
      <c r="AI93" s="27"/>
      <c r="AJ93" s="27"/>
      <c r="AK93" s="27"/>
      <c r="AL93" s="27"/>
      <c r="AM93" s="27"/>
      <c r="AN93" s="27"/>
      <c r="AO93" s="27"/>
      <c r="AP93" s="27"/>
      <c r="AQ93" s="27"/>
      <c r="AR93" s="27"/>
      <c r="AS93" s="27"/>
      <c r="AT93" s="27"/>
      <c r="AU93" s="27"/>
      <c r="AV93" s="27"/>
      <c r="AW93" s="27"/>
      <c r="AX93" s="27"/>
      <c r="AY93" s="27"/>
      <c r="AZ93" s="27"/>
      <c r="BA93" s="27"/>
      <c r="BB93" s="27"/>
      <c r="BC93" s="27"/>
      <c r="BD93" s="27"/>
      <c r="BE93" s="27"/>
      <c r="BF93" s="27"/>
      <c r="BG93" s="27"/>
      <c r="BH93" s="27"/>
      <c r="BI93" s="27"/>
      <c r="BJ93" s="27"/>
      <c r="BK93" s="27"/>
      <c r="BL93" s="27"/>
      <c r="BM93" s="27"/>
      <c r="BN93" s="27"/>
      <c r="BO93" s="27"/>
      <c r="BP93" s="27"/>
      <c r="BQ93" s="27"/>
      <c r="BR93" s="27"/>
      <c r="BS93" s="27"/>
      <c r="BT93" s="27"/>
      <c r="BU93" s="27"/>
      <c r="BV93" s="27"/>
      <c r="BW93" s="27"/>
      <c r="BX93" s="27"/>
      <c r="BY93" s="27"/>
      <c r="BZ93" s="27"/>
      <c r="CA93" s="27"/>
      <c r="CB93" s="27"/>
      <c r="CC93" s="27"/>
      <c r="CL93" s="24"/>
      <c r="CM93" s="24"/>
      <c r="CN93" s="24"/>
      <c r="CO93" s="24"/>
      <c r="CP93" s="24"/>
      <c r="CQ93" s="24"/>
      <c r="CR93" s="24"/>
      <c r="CS93" s="24"/>
      <c r="CT93" s="24"/>
      <c r="CU93" s="24"/>
      <c r="CV93" s="24"/>
      <c r="CW93" s="24"/>
      <c r="CX93" s="24"/>
      <c r="CY93" s="24"/>
      <c r="CZ93" s="24"/>
      <c r="DA93" s="24"/>
      <c r="DB93" s="24"/>
      <c r="DC93" s="24"/>
      <c r="DD93" s="24"/>
      <c r="DE93" s="24"/>
      <c r="DF93" s="24"/>
    </row>
    <row r="94" spans="5:110" x14ac:dyDescent="0.3">
      <c r="E94" s="27"/>
      <c r="F94" s="27"/>
      <c r="G94" s="27"/>
      <c r="H94" s="27"/>
      <c r="I94" s="27"/>
      <c r="J94" s="27"/>
      <c r="K94" s="27"/>
      <c r="L94" s="27"/>
      <c r="M94" s="27"/>
      <c r="N94" s="27"/>
      <c r="O94" s="27"/>
      <c r="P94" s="27"/>
      <c r="Q94" s="27"/>
      <c r="R94" s="27"/>
      <c r="S94" s="27"/>
      <c r="T94" s="27"/>
      <c r="U94" s="27"/>
      <c r="V94" s="27"/>
      <c r="W94" s="27"/>
      <c r="X94" s="27"/>
      <c r="Y94" s="27"/>
      <c r="Z94" s="27"/>
      <c r="AA94" s="27"/>
      <c r="AB94" s="27"/>
      <c r="AC94" s="27"/>
      <c r="AD94" s="27"/>
      <c r="AE94" s="27"/>
      <c r="AF94" s="27"/>
      <c r="AG94" s="27"/>
      <c r="AH94" s="27"/>
      <c r="AI94" s="27"/>
      <c r="AJ94" s="27"/>
      <c r="AK94" s="27"/>
      <c r="AL94" s="27"/>
      <c r="AM94" s="27"/>
      <c r="AN94" s="27"/>
      <c r="AO94" s="27"/>
      <c r="AP94" s="27"/>
      <c r="AQ94" s="27"/>
      <c r="AR94" s="27"/>
      <c r="AS94" s="27"/>
      <c r="AT94" s="27"/>
      <c r="AU94" s="27"/>
      <c r="AV94" s="27"/>
      <c r="AW94" s="27"/>
      <c r="AX94" s="27"/>
      <c r="AY94" s="27"/>
      <c r="AZ94" s="27"/>
      <c r="BA94" s="27"/>
      <c r="BB94" s="27"/>
      <c r="BC94" s="27"/>
      <c r="BD94" s="27"/>
      <c r="BE94" s="27"/>
      <c r="BF94" s="27"/>
      <c r="BG94" s="27"/>
      <c r="BH94" s="27"/>
      <c r="BI94" s="27"/>
      <c r="BJ94" s="27"/>
      <c r="BK94" s="27"/>
      <c r="BL94" s="27"/>
      <c r="BM94" s="27"/>
      <c r="BN94" s="27"/>
      <c r="BO94" s="27"/>
      <c r="BP94" s="27"/>
      <c r="BQ94" s="27"/>
      <c r="BR94" s="27"/>
      <c r="BS94" s="27"/>
      <c r="BT94" s="27"/>
      <c r="BU94" s="27"/>
      <c r="BV94" s="27"/>
      <c r="BW94" s="27"/>
      <c r="BX94" s="27"/>
      <c r="BY94" s="27"/>
      <c r="BZ94" s="27"/>
      <c r="CA94" s="27"/>
      <c r="CB94" s="27"/>
      <c r="CC94" s="27"/>
      <c r="CL94" s="24"/>
      <c r="CM94" s="24"/>
      <c r="CN94" s="24"/>
      <c r="CO94" s="24"/>
      <c r="CP94" s="24"/>
      <c r="CQ94" s="24"/>
      <c r="CR94" s="24"/>
      <c r="CS94" s="24"/>
      <c r="CT94" s="24"/>
      <c r="CU94" s="24"/>
      <c r="CV94" s="24"/>
      <c r="CW94" s="24"/>
      <c r="CX94" s="24"/>
      <c r="CY94" s="24"/>
      <c r="CZ94" s="24"/>
      <c r="DA94" s="24"/>
      <c r="DB94" s="24"/>
      <c r="DC94" s="24"/>
      <c r="DD94" s="24"/>
      <c r="DE94" s="24"/>
      <c r="DF94" s="24"/>
    </row>
    <row r="95" spans="5:110" x14ac:dyDescent="0.3">
      <c r="E95" s="27"/>
      <c r="F95" s="27"/>
      <c r="G95" s="27"/>
      <c r="H95" s="27"/>
      <c r="I95" s="27"/>
      <c r="J95" s="27"/>
      <c r="K95" s="27"/>
      <c r="L95" s="27"/>
      <c r="M95" s="27"/>
      <c r="N95" s="27"/>
      <c r="O95" s="27"/>
      <c r="P95" s="27"/>
      <c r="Q95" s="27"/>
      <c r="R95" s="27"/>
      <c r="S95" s="27"/>
      <c r="T95" s="27"/>
      <c r="U95" s="27"/>
      <c r="V95" s="27"/>
      <c r="W95" s="27"/>
      <c r="X95" s="27"/>
      <c r="Y95" s="27"/>
      <c r="Z95" s="27"/>
      <c r="AA95" s="27"/>
      <c r="AB95" s="27"/>
      <c r="AC95" s="27"/>
      <c r="AD95" s="27"/>
      <c r="AE95" s="27"/>
      <c r="AF95" s="27"/>
      <c r="AG95" s="27"/>
      <c r="AH95" s="27"/>
      <c r="AI95" s="27"/>
      <c r="AJ95" s="27"/>
      <c r="AK95" s="27"/>
      <c r="AL95" s="27"/>
      <c r="AM95" s="27"/>
      <c r="AN95" s="27"/>
      <c r="AO95" s="27"/>
      <c r="AP95" s="27"/>
      <c r="AQ95" s="27"/>
      <c r="AR95" s="27"/>
      <c r="AS95" s="27"/>
      <c r="AT95" s="27"/>
      <c r="AU95" s="27"/>
      <c r="AV95" s="27"/>
      <c r="AW95" s="27"/>
      <c r="AX95" s="27"/>
      <c r="AY95" s="27"/>
      <c r="AZ95" s="27"/>
      <c r="BA95" s="27"/>
      <c r="BB95" s="27"/>
      <c r="BC95" s="27"/>
      <c r="BD95" s="27"/>
      <c r="BE95" s="27"/>
      <c r="BF95" s="27"/>
      <c r="BG95" s="27"/>
      <c r="BH95" s="27"/>
      <c r="BI95" s="27"/>
      <c r="BJ95" s="27"/>
      <c r="BK95" s="27"/>
      <c r="BL95" s="27"/>
      <c r="BM95" s="27"/>
      <c r="BN95" s="27"/>
      <c r="BO95" s="27"/>
      <c r="BP95" s="27"/>
      <c r="BQ95" s="27"/>
      <c r="BR95" s="27"/>
      <c r="BS95" s="27"/>
      <c r="BT95" s="27"/>
      <c r="BU95" s="27"/>
      <c r="BV95" s="27"/>
      <c r="BW95" s="27"/>
      <c r="BX95" s="27"/>
      <c r="BY95" s="27"/>
      <c r="BZ95" s="27"/>
      <c r="CA95" s="27"/>
      <c r="CB95" s="27"/>
      <c r="CC95" s="27"/>
      <c r="CL95" s="24"/>
      <c r="CM95" s="24"/>
      <c r="CN95" s="24"/>
      <c r="CO95" s="24"/>
      <c r="CP95" s="24"/>
      <c r="CQ95" s="24"/>
      <c r="CR95" s="24"/>
      <c r="CS95" s="24"/>
      <c r="CT95" s="24"/>
      <c r="CU95" s="24"/>
      <c r="CV95" s="24"/>
      <c r="CW95" s="24"/>
      <c r="CX95" s="24"/>
      <c r="CY95" s="24"/>
      <c r="CZ95" s="24"/>
      <c r="DA95" s="24"/>
      <c r="DB95" s="24"/>
      <c r="DC95" s="24"/>
      <c r="DD95" s="24"/>
      <c r="DE95" s="24"/>
      <c r="DF95" s="24"/>
    </row>
    <row r="96" spans="5:110" x14ac:dyDescent="0.3">
      <c r="E96" s="27"/>
      <c r="F96" s="27"/>
      <c r="G96" s="27"/>
      <c r="H96" s="27"/>
      <c r="I96" s="27"/>
      <c r="J96" s="27"/>
      <c r="K96" s="27"/>
      <c r="L96" s="27"/>
      <c r="M96" s="27"/>
      <c r="N96" s="27"/>
      <c r="O96" s="27"/>
      <c r="P96" s="27"/>
      <c r="Q96" s="27"/>
      <c r="R96" s="27"/>
      <c r="S96" s="27"/>
      <c r="T96" s="27"/>
      <c r="U96" s="27"/>
      <c r="V96" s="27"/>
      <c r="W96" s="27"/>
      <c r="X96" s="27"/>
      <c r="Y96" s="27"/>
      <c r="Z96" s="27"/>
      <c r="AA96" s="27"/>
      <c r="AB96" s="27"/>
      <c r="AC96" s="27"/>
      <c r="AD96" s="27"/>
      <c r="AE96" s="27"/>
      <c r="AF96" s="27"/>
      <c r="AG96" s="27"/>
      <c r="AH96" s="27"/>
      <c r="AI96" s="27"/>
      <c r="AJ96" s="27"/>
      <c r="AK96" s="27"/>
      <c r="AL96" s="27"/>
      <c r="AM96" s="27"/>
      <c r="AN96" s="27"/>
      <c r="AO96" s="27"/>
      <c r="AP96" s="27"/>
      <c r="AQ96" s="27"/>
      <c r="AR96" s="27"/>
      <c r="AS96" s="27"/>
      <c r="AT96" s="27"/>
      <c r="AU96" s="27"/>
      <c r="AV96" s="27"/>
      <c r="AW96" s="27"/>
      <c r="AX96" s="27"/>
      <c r="AY96" s="27"/>
      <c r="AZ96" s="27"/>
      <c r="BA96" s="27"/>
      <c r="BB96" s="27"/>
      <c r="BC96" s="27"/>
      <c r="BD96" s="27"/>
      <c r="BE96" s="27"/>
      <c r="BF96" s="27"/>
      <c r="BG96" s="27"/>
      <c r="BH96" s="27"/>
      <c r="BI96" s="27"/>
      <c r="BJ96" s="27"/>
      <c r="BK96" s="27"/>
      <c r="BL96" s="27"/>
      <c r="BM96" s="27"/>
      <c r="BN96" s="27"/>
      <c r="BO96" s="27"/>
      <c r="BP96" s="27"/>
      <c r="BQ96" s="27"/>
      <c r="BR96" s="27"/>
      <c r="BS96" s="27"/>
      <c r="BT96" s="27"/>
      <c r="BU96" s="27"/>
      <c r="BV96" s="27"/>
      <c r="BW96" s="27"/>
      <c r="BX96" s="27"/>
      <c r="BY96" s="27"/>
      <c r="BZ96" s="27"/>
      <c r="CA96" s="27"/>
      <c r="CB96" s="27"/>
      <c r="CC96" s="27"/>
      <c r="CL96" s="24"/>
      <c r="CM96" s="24"/>
      <c r="CN96" s="24"/>
      <c r="CO96" s="24"/>
      <c r="CP96" s="24"/>
      <c r="CQ96" s="24"/>
      <c r="CR96" s="24"/>
      <c r="CS96" s="24"/>
      <c r="CT96" s="24"/>
      <c r="CU96" s="24"/>
      <c r="CV96" s="24"/>
      <c r="CW96" s="24"/>
      <c r="CX96" s="24"/>
      <c r="CY96" s="24"/>
      <c r="CZ96" s="24"/>
      <c r="DA96" s="24"/>
      <c r="DB96" s="24"/>
      <c r="DC96" s="24"/>
      <c r="DD96" s="24"/>
      <c r="DE96" s="24"/>
      <c r="DF96" s="24"/>
    </row>
    <row r="97" spans="5:110" x14ac:dyDescent="0.3">
      <c r="E97" s="27"/>
      <c r="F97" s="27"/>
      <c r="G97" s="27"/>
      <c r="H97" s="27"/>
      <c r="I97" s="27"/>
      <c r="J97" s="27"/>
      <c r="K97" s="27"/>
      <c r="L97" s="27"/>
      <c r="M97" s="27"/>
      <c r="N97" s="27"/>
      <c r="O97" s="27"/>
      <c r="P97" s="27"/>
      <c r="Q97" s="27"/>
      <c r="R97" s="27"/>
      <c r="S97" s="27"/>
      <c r="T97" s="27"/>
      <c r="U97" s="27"/>
      <c r="V97" s="27"/>
      <c r="W97" s="27"/>
      <c r="X97" s="27"/>
      <c r="Y97" s="27"/>
      <c r="Z97" s="27"/>
      <c r="AA97" s="27"/>
      <c r="AB97" s="27"/>
      <c r="AC97" s="27"/>
      <c r="AD97" s="27"/>
      <c r="AE97" s="27"/>
      <c r="AF97" s="27"/>
      <c r="AG97" s="27"/>
      <c r="AH97" s="27"/>
      <c r="AI97" s="27"/>
      <c r="AJ97" s="27"/>
      <c r="AK97" s="27"/>
      <c r="AL97" s="27"/>
      <c r="AM97" s="27"/>
      <c r="AN97" s="27"/>
      <c r="AO97" s="27"/>
      <c r="AP97" s="27"/>
      <c r="AQ97" s="27"/>
      <c r="AR97" s="27"/>
      <c r="AS97" s="27"/>
      <c r="AT97" s="27"/>
      <c r="AU97" s="27"/>
      <c r="AV97" s="27"/>
      <c r="AW97" s="27"/>
      <c r="AX97" s="27"/>
      <c r="AY97" s="27"/>
      <c r="AZ97" s="27"/>
      <c r="BA97" s="27"/>
      <c r="BB97" s="27"/>
      <c r="BC97" s="27"/>
      <c r="BD97" s="27"/>
      <c r="BE97" s="27"/>
      <c r="BF97" s="27"/>
      <c r="BG97" s="27"/>
      <c r="BH97" s="27"/>
      <c r="BI97" s="27"/>
      <c r="BJ97" s="27"/>
      <c r="BK97" s="27"/>
      <c r="BL97" s="27"/>
      <c r="BM97" s="27"/>
      <c r="BN97" s="27"/>
      <c r="BO97" s="27"/>
      <c r="BP97" s="27"/>
      <c r="BQ97" s="27"/>
      <c r="BR97" s="27"/>
      <c r="BS97" s="27"/>
      <c r="BT97" s="27"/>
      <c r="BU97" s="27"/>
      <c r="BV97" s="27"/>
      <c r="BW97" s="27"/>
      <c r="BX97" s="27"/>
      <c r="BY97" s="27"/>
      <c r="BZ97" s="27"/>
      <c r="CA97" s="27"/>
      <c r="CB97" s="27"/>
      <c r="CC97" s="27"/>
      <c r="CL97" s="24"/>
      <c r="CM97" s="24"/>
      <c r="CN97" s="24"/>
      <c r="CO97" s="24"/>
      <c r="CP97" s="24"/>
      <c r="CQ97" s="24"/>
      <c r="CR97" s="24"/>
      <c r="CS97" s="24"/>
      <c r="CT97" s="24"/>
      <c r="CU97" s="24"/>
      <c r="CV97" s="24"/>
      <c r="CW97" s="24"/>
      <c r="CX97" s="24"/>
      <c r="CY97" s="24"/>
      <c r="CZ97" s="24"/>
      <c r="DA97" s="24"/>
      <c r="DB97" s="24"/>
      <c r="DC97" s="24"/>
      <c r="DD97" s="24"/>
      <c r="DE97" s="24"/>
      <c r="DF97" s="24"/>
    </row>
    <row r="98" spans="5:110" x14ac:dyDescent="0.3">
      <c r="E98" s="27"/>
      <c r="F98" s="27"/>
      <c r="G98" s="27"/>
      <c r="H98" s="27"/>
      <c r="I98" s="27"/>
      <c r="J98" s="27"/>
      <c r="K98" s="27"/>
      <c r="L98" s="27"/>
      <c r="M98" s="27"/>
      <c r="N98" s="27"/>
      <c r="O98" s="27"/>
      <c r="P98" s="27"/>
      <c r="Q98" s="27"/>
      <c r="R98" s="27"/>
      <c r="S98" s="27"/>
      <c r="T98" s="27"/>
      <c r="U98" s="27"/>
      <c r="V98" s="27"/>
      <c r="W98" s="27"/>
      <c r="X98" s="27"/>
      <c r="Y98" s="27"/>
      <c r="Z98" s="27"/>
      <c r="AA98" s="27"/>
      <c r="AB98" s="27"/>
      <c r="AC98" s="27"/>
      <c r="AD98" s="27"/>
      <c r="AE98" s="27"/>
      <c r="AF98" s="27"/>
      <c r="AG98" s="27"/>
      <c r="AH98" s="27"/>
      <c r="AI98" s="27"/>
      <c r="AJ98" s="27"/>
      <c r="AK98" s="27"/>
      <c r="AL98" s="27"/>
      <c r="AM98" s="27"/>
      <c r="AN98" s="27"/>
      <c r="AO98" s="27"/>
      <c r="AP98" s="27"/>
      <c r="AQ98" s="27"/>
      <c r="AR98" s="27"/>
      <c r="AS98" s="27"/>
      <c r="AT98" s="27"/>
      <c r="AU98" s="27"/>
      <c r="AV98" s="27"/>
      <c r="AW98" s="27"/>
      <c r="AX98" s="27"/>
      <c r="AY98" s="27"/>
      <c r="AZ98" s="27"/>
      <c r="BA98" s="27"/>
      <c r="BB98" s="27"/>
      <c r="BC98" s="27"/>
      <c r="BD98" s="27"/>
      <c r="BE98" s="27"/>
      <c r="BF98" s="27"/>
      <c r="BG98" s="27"/>
      <c r="BH98" s="27"/>
      <c r="BI98" s="27"/>
      <c r="BJ98" s="27"/>
      <c r="BK98" s="27"/>
      <c r="BL98" s="27"/>
      <c r="BM98" s="27"/>
      <c r="BN98" s="27"/>
      <c r="BO98" s="27"/>
      <c r="BP98" s="27"/>
      <c r="BQ98" s="27"/>
      <c r="BR98" s="27"/>
      <c r="BS98" s="27"/>
      <c r="BT98" s="27"/>
      <c r="BU98" s="27"/>
      <c r="BV98" s="27"/>
      <c r="BW98" s="27"/>
      <c r="BX98" s="27"/>
      <c r="BY98" s="27"/>
      <c r="BZ98" s="27"/>
      <c r="CA98" s="27"/>
      <c r="CB98" s="27"/>
      <c r="CC98" s="27"/>
      <c r="CL98" s="24"/>
      <c r="CM98" s="24"/>
      <c r="CN98" s="24"/>
      <c r="CO98" s="24"/>
      <c r="CP98" s="24"/>
      <c r="CQ98" s="24"/>
      <c r="CR98" s="24"/>
      <c r="CS98" s="24"/>
      <c r="CT98" s="24"/>
      <c r="CU98" s="24"/>
      <c r="CV98" s="24"/>
      <c r="CW98" s="24"/>
      <c r="CX98" s="24"/>
      <c r="CY98" s="24"/>
      <c r="CZ98" s="24"/>
      <c r="DA98" s="24"/>
      <c r="DB98" s="24"/>
      <c r="DC98" s="24"/>
      <c r="DD98" s="24"/>
      <c r="DE98" s="24"/>
      <c r="DF98" s="24"/>
    </row>
    <row r="99" spans="5:110" x14ac:dyDescent="0.3">
      <c r="E99" s="27"/>
      <c r="F99" s="27"/>
      <c r="G99" s="27"/>
      <c r="H99" s="27"/>
      <c r="I99" s="27"/>
      <c r="J99" s="27"/>
      <c r="K99" s="27"/>
      <c r="L99" s="27"/>
      <c r="M99" s="27"/>
      <c r="N99" s="27"/>
      <c r="O99" s="27"/>
      <c r="P99" s="27"/>
      <c r="Q99" s="27"/>
      <c r="R99" s="27"/>
      <c r="S99" s="27"/>
      <c r="T99" s="27"/>
      <c r="U99" s="27"/>
      <c r="V99" s="27"/>
      <c r="W99" s="27"/>
      <c r="X99" s="27"/>
      <c r="Y99" s="27"/>
      <c r="Z99" s="27"/>
      <c r="AA99" s="27"/>
      <c r="AB99" s="27"/>
      <c r="AC99" s="27"/>
      <c r="AD99" s="27"/>
      <c r="AE99" s="27"/>
      <c r="AF99" s="27"/>
      <c r="AG99" s="27"/>
      <c r="AH99" s="27"/>
      <c r="AI99" s="27"/>
      <c r="AJ99" s="27"/>
      <c r="AK99" s="27"/>
      <c r="AL99" s="27"/>
      <c r="AM99" s="27"/>
      <c r="AN99" s="27"/>
      <c r="AO99" s="27"/>
      <c r="AP99" s="27"/>
      <c r="AQ99" s="27"/>
      <c r="AR99" s="27"/>
      <c r="AS99" s="27"/>
      <c r="AT99" s="27"/>
      <c r="AU99" s="27"/>
      <c r="AV99" s="27"/>
      <c r="AW99" s="27"/>
      <c r="AX99" s="27"/>
      <c r="AY99" s="27"/>
      <c r="AZ99" s="27"/>
      <c r="BA99" s="27"/>
      <c r="BB99" s="27"/>
      <c r="BC99" s="27"/>
      <c r="BD99" s="27"/>
      <c r="BE99" s="27"/>
      <c r="BF99" s="27"/>
      <c r="BG99" s="27"/>
      <c r="BH99" s="27"/>
      <c r="BI99" s="27"/>
      <c r="BJ99" s="27"/>
      <c r="BK99" s="27"/>
      <c r="BL99" s="27"/>
      <c r="BM99" s="27"/>
      <c r="BN99" s="27"/>
      <c r="BO99" s="27"/>
      <c r="BP99" s="27"/>
      <c r="BQ99" s="27"/>
      <c r="BR99" s="27"/>
      <c r="BS99" s="27"/>
      <c r="BT99" s="27"/>
      <c r="BU99" s="27"/>
      <c r="BV99" s="27"/>
      <c r="BW99" s="27"/>
      <c r="BX99" s="27"/>
      <c r="BY99" s="27"/>
      <c r="BZ99" s="27"/>
      <c r="CA99" s="27"/>
      <c r="CB99" s="27"/>
      <c r="CC99" s="27"/>
      <c r="CL99" s="24"/>
      <c r="CM99" s="24"/>
      <c r="CN99" s="24"/>
      <c r="CO99" s="24"/>
      <c r="CP99" s="24"/>
      <c r="CQ99" s="24"/>
      <c r="CR99" s="24"/>
      <c r="CS99" s="24"/>
      <c r="CT99" s="24"/>
      <c r="CU99" s="24"/>
      <c r="CV99" s="24"/>
      <c r="CW99" s="24"/>
      <c r="CX99" s="24"/>
      <c r="CY99" s="24"/>
      <c r="CZ99" s="24"/>
      <c r="DA99" s="24"/>
      <c r="DB99" s="24"/>
      <c r="DC99" s="24"/>
      <c r="DD99" s="24"/>
      <c r="DE99" s="24"/>
      <c r="DF99" s="24"/>
    </row>
    <row r="100" spans="5:110" x14ac:dyDescent="0.3">
      <c r="E100" s="27"/>
      <c r="F100" s="27"/>
      <c r="G100" s="27"/>
      <c r="H100" s="27"/>
      <c r="I100" s="27"/>
      <c r="J100" s="27"/>
      <c r="K100" s="27"/>
      <c r="L100" s="27"/>
      <c r="M100" s="27"/>
      <c r="N100" s="27"/>
      <c r="O100" s="27"/>
      <c r="P100" s="27"/>
      <c r="Q100" s="27"/>
      <c r="R100" s="27"/>
      <c r="S100" s="27"/>
      <c r="T100" s="27"/>
      <c r="U100" s="27"/>
      <c r="V100" s="27"/>
      <c r="W100" s="27"/>
      <c r="X100" s="27"/>
      <c r="Y100" s="27"/>
      <c r="Z100" s="27"/>
      <c r="AA100" s="27"/>
      <c r="AB100" s="27"/>
      <c r="AC100" s="27"/>
      <c r="AD100" s="27"/>
      <c r="AE100" s="27"/>
      <c r="AF100" s="27"/>
      <c r="AG100" s="27"/>
      <c r="AH100" s="27"/>
      <c r="AI100" s="27"/>
      <c r="AJ100" s="27"/>
      <c r="AK100" s="27"/>
      <c r="AL100" s="27"/>
      <c r="AM100" s="27"/>
      <c r="AN100" s="27"/>
      <c r="AO100" s="27"/>
      <c r="AP100" s="27"/>
      <c r="AQ100" s="27"/>
      <c r="AR100" s="27"/>
      <c r="AS100" s="27"/>
      <c r="AT100" s="27"/>
      <c r="AU100" s="27"/>
      <c r="AV100" s="27"/>
      <c r="AW100" s="27"/>
      <c r="AX100" s="27"/>
      <c r="AY100" s="27"/>
      <c r="AZ100" s="27"/>
      <c r="BA100" s="27"/>
      <c r="BB100" s="27"/>
      <c r="BC100" s="27"/>
      <c r="BD100" s="27"/>
      <c r="BE100" s="27"/>
      <c r="BF100" s="27"/>
      <c r="BG100" s="27"/>
      <c r="BH100" s="27"/>
      <c r="BI100" s="27"/>
      <c r="BJ100" s="27"/>
      <c r="BK100" s="27"/>
      <c r="BL100" s="27"/>
      <c r="BM100" s="27"/>
      <c r="BN100" s="27"/>
      <c r="BO100" s="27"/>
      <c r="BP100" s="27"/>
      <c r="BQ100" s="27"/>
      <c r="BR100" s="27"/>
      <c r="BS100" s="27"/>
      <c r="BT100" s="27"/>
      <c r="BU100" s="27"/>
      <c r="BV100" s="27"/>
      <c r="BW100" s="27"/>
      <c r="BX100" s="27"/>
      <c r="BY100" s="27"/>
      <c r="BZ100" s="27"/>
      <c r="CA100" s="27"/>
      <c r="CB100" s="27"/>
      <c r="CC100" s="27"/>
      <c r="CL100" s="24"/>
      <c r="CM100" s="24"/>
      <c r="CN100" s="24"/>
      <c r="CO100" s="24"/>
      <c r="CP100" s="24"/>
      <c r="CQ100" s="24"/>
      <c r="CR100" s="24"/>
      <c r="CS100" s="24"/>
      <c r="CT100" s="24"/>
      <c r="CU100" s="24"/>
      <c r="CV100" s="24"/>
      <c r="CW100" s="24"/>
      <c r="CX100" s="24"/>
      <c r="CY100" s="24"/>
      <c r="CZ100" s="24"/>
      <c r="DA100" s="24"/>
      <c r="DB100" s="24"/>
      <c r="DC100" s="24"/>
      <c r="DD100" s="24"/>
      <c r="DE100" s="24"/>
      <c r="DF100" s="24"/>
    </row>
    <row r="101" spans="5:110" x14ac:dyDescent="0.3">
      <c r="E101" s="27"/>
      <c r="F101" s="27"/>
      <c r="G101" s="27"/>
      <c r="H101" s="27"/>
      <c r="I101" s="27"/>
      <c r="J101" s="27"/>
      <c r="K101" s="27"/>
      <c r="L101" s="27"/>
      <c r="M101" s="27"/>
      <c r="N101" s="27"/>
      <c r="O101" s="27"/>
      <c r="P101" s="27"/>
      <c r="Q101" s="27"/>
      <c r="R101" s="27"/>
      <c r="S101" s="27"/>
      <c r="T101" s="27"/>
      <c r="U101" s="27"/>
      <c r="V101" s="27"/>
      <c r="W101" s="27"/>
      <c r="X101" s="27"/>
      <c r="Y101" s="27"/>
      <c r="Z101" s="27"/>
      <c r="AA101" s="27"/>
      <c r="AB101" s="27"/>
      <c r="AC101" s="27"/>
      <c r="AD101" s="27"/>
      <c r="AE101" s="27"/>
      <c r="AF101" s="27"/>
      <c r="AG101" s="27"/>
      <c r="AH101" s="27"/>
      <c r="AI101" s="27"/>
      <c r="AJ101" s="27"/>
      <c r="AK101" s="27"/>
      <c r="AL101" s="27"/>
      <c r="AM101" s="27"/>
      <c r="AN101" s="27"/>
      <c r="AO101" s="27"/>
      <c r="AP101" s="27"/>
      <c r="AQ101" s="27"/>
      <c r="AR101" s="27"/>
      <c r="AS101" s="27"/>
      <c r="AT101" s="27"/>
      <c r="AU101" s="27"/>
      <c r="AV101" s="27"/>
      <c r="AW101" s="27"/>
      <c r="AX101" s="27"/>
      <c r="AY101" s="27"/>
      <c r="AZ101" s="27"/>
      <c r="BA101" s="27"/>
      <c r="BB101" s="27"/>
      <c r="BC101" s="27"/>
      <c r="BD101" s="27"/>
      <c r="BE101" s="27"/>
      <c r="BF101" s="27"/>
      <c r="BG101" s="27"/>
      <c r="BH101" s="27"/>
      <c r="BI101" s="27"/>
      <c r="BJ101" s="27"/>
      <c r="BK101" s="27"/>
      <c r="BL101" s="27"/>
      <c r="BM101" s="27"/>
      <c r="BN101" s="27"/>
      <c r="BO101" s="27"/>
      <c r="BP101" s="27"/>
      <c r="BQ101" s="27"/>
      <c r="BR101" s="27"/>
      <c r="BS101" s="27"/>
      <c r="BT101" s="27"/>
      <c r="BU101" s="27"/>
      <c r="BV101" s="27"/>
      <c r="BW101" s="27"/>
      <c r="BX101" s="27"/>
      <c r="BY101" s="27"/>
      <c r="BZ101" s="27"/>
      <c r="CA101" s="27"/>
      <c r="CB101" s="27"/>
      <c r="CC101" s="27"/>
      <c r="CL101" s="24"/>
      <c r="CM101" s="24"/>
      <c r="CN101" s="24"/>
      <c r="CO101" s="24"/>
      <c r="CP101" s="24"/>
      <c r="CQ101" s="24"/>
      <c r="CR101" s="24"/>
      <c r="CS101" s="24"/>
      <c r="CT101" s="24"/>
      <c r="CU101" s="24"/>
      <c r="CV101" s="24"/>
      <c r="CW101" s="24"/>
      <c r="CX101" s="24"/>
      <c r="CY101" s="24"/>
      <c r="CZ101" s="24"/>
      <c r="DA101" s="24"/>
      <c r="DB101" s="24"/>
      <c r="DC101" s="24"/>
      <c r="DD101" s="24"/>
      <c r="DE101" s="24"/>
      <c r="DF101" s="24"/>
    </row>
    <row r="102" spans="5:110" x14ac:dyDescent="0.3">
      <c r="E102" s="27"/>
      <c r="F102" s="27"/>
      <c r="G102" s="27"/>
      <c r="H102" s="27"/>
      <c r="I102" s="27"/>
      <c r="J102" s="27"/>
      <c r="K102" s="27"/>
      <c r="L102" s="27"/>
      <c r="M102" s="27"/>
      <c r="N102" s="27"/>
      <c r="O102" s="27"/>
      <c r="P102" s="27"/>
      <c r="Q102" s="27"/>
      <c r="R102" s="27"/>
      <c r="S102" s="27"/>
      <c r="T102" s="27"/>
      <c r="U102" s="27"/>
      <c r="V102" s="27"/>
      <c r="W102" s="27"/>
      <c r="X102" s="27"/>
      <c r="Y102" s="27"/>
      <c r="Z102" s="27"/>
      <c r="AA102" s="27"/>
      <c r="AB102" s="27"/>
      <c r="AC102" s="27"/>
      <c r="AD102" s="27"/>
      <c r="AE102" s="27"/>
      <c r="AF102" s="27"/>
      <c r="AG102" s="27"/>
      <c r="AH102" s="27"/>
      <c r="AI102" s="27"/>
      <c r="AJ102" s="27"/>
      <c r="AK102" s="27"/>
      <c r="AL102" s="27"/>
      <c r="AM102" s="27"/>
      <c r="AN102" s="27"/>
      <c r="AO102" s="27"/>
      <c r="AP102" s="27"/>
      <c r="AQ102" s="27"/>
      <c r="AR102" s="27"/>
      <c r="AS102" s="27"/>
      <c r="AT102" s="27"/>
      <c r="AU102" s="27"/>
      <c r="AV102" s="27"/>
      <c r="AW102" s="27"/>
      <c r="AX102" s="27"/>
      <c r="AY102" s="27"/>
      <c r="AZ102" s="27"/>
      <c r="BA102" s="27"/>
      <c r="BB102" s="27"/>
      <c r="BC102" s="27"/>
      <c r="BD102" s="27"/>
      <c r="BE102" s="27"/>
      <c r="BF102" s="27"/>
      <c r="BG102" s="27"/>
      <c r="BH102" s="27"/>
      <c r="BI102" s="27"/>
      <c r="BJ102" s="27"/>
      <c r="BK102" s="27"/>
      <c r="BL102" s="27"/>
      <c r="BM102" s="27"/>
      <c r="BN102" s="27"/>
      <c r="BO102" s="27"/>
      <c r="BP102" s="27"/>
      <c r="BQ102" s="27"/>
      <c r="BR102" s="27"/>
      <c r="BS102" s="27"/>
      <c r="BT102" s="27"/>
      <c r="BU102" s="27"/>
      <c r="BV102" s="27"/>
      <c r="BW102" s="27"/>
      <c r="BX102" s="27"/>
      <c r="BY102" s="27"/>
      <c r="BZ102" s="27"/>
      <c r="CA102" s="27"/>
      <c r="CB102" s="27"/>
      <c r="CC102" s="27"/>
      <c r="CL102" s="24"/>
      <c r="CM102" s="24"/>
      <c r="CN102" s="24"/>
      <c r="CO102" s="24"/>
      <c r="CP102" s="24"/>
      <c r="CQ102" s="24"/>
      <c r="CR102" s="24"/>
      <c r="CS102" s="24"/>
      <c r="CT102" s="24"/>
      <c r="CU102" s="24"/>
      <c r="CV102" s="24"/>
      <c r="CW102" s="24"/>
      <c r="CX102" s="24"/>
      <c r="CY102" s="24"/>
      <c r="CZ102" s="24"/>
      <c r="DA102" s="24"/>
      <c r="DB102" s="24"/>
      <c r="DC102" s="24"/>
      <c r="DD102" s="24"/>
      <c r="DE102" s="24"/>
      <c r="DF102" s="24"/>
    </row>
    <row r="103" spans="5:110" x14ac:dyDescent="0.3">
      <c r="E103" s="27"/>
      <c r="F103" s="27"/>
      <c r="G103" s="27"/>
      <c r="H103" s="27"/>
      <c r="I103" s="27"/>
      <c r="J103" s="27"/>
      <c r="K103" s="27"/>
      <c r="L103" s="27"/>
      <c r="M103" s="27"/>
      <c r="N103" s="27"/>
      <c r="O103" s="27"/>
      <c r="P103" s="27"/>
      <c r="Q103" s="27"/>
      <c r="R103" s="27"/>
      <c r="S103" s="27"/>
      <c r="T103" s="27"/>
      <c r="U103" s="27"/>
      <c r="V103" s="27"/>
      <c r="W103" s="27"/>
      <c r="X103" s="27"/>
      <c r="Y103" s="27"/>
      <c r="Z103" s="27"/>
      <c r="AA103" s="27"/>
      <c r="AB103" s="27"/>
      <c r="AC103" s="27"/>
      <c r="AD103" s="27"/>
      <c r="AE103" s="27"/>
      <c r="AF103" s="27"/>
      <c r="AG103" s="27"/>
      <c r="AH103" s="27"/>
      <c r="AI103" s="27"/>
      <c r="AJ103" s="27"/>
      <c r="AK103" s="27"/>
      <c r="AL103" s="27"/>
      <c r="AM103" s="27"/>
      <c r="AN103" s="27"/>
      <c r="AO103" s="27"/>
      <c r="AP103" s="27"/>
      <c r="AQ103" s="27"/>
      <c r="AR103" s="27"/>
      <c r="AS103" s="27"/>
      <c r="AT103" s="27"/>
      <c r="AU103" s="27"/>
      <c r="AV103" s="27"/>
      <c r="AW103" s="27"/>
      <c r="AX103" s="27"/>
      <c r="AY103" s="27"/>
      <c r="AZ103" s="27"/>
      <c r="BA103" s="27"/>
      <c r="BB103" s="27"/>
      <c r="BC103" s="27"/>
      <c r="BD103" s="27"/>
      <c r="BE103" s="27"/>
      <c r="BF103" s="27"/>
      <c r="BG103" s="27"/>
      <c r="BH103" s="27"/>
      <c r="BI103" s="27"/>
      <c r="BJ103" s="27"/>
      <c r="BK103" s="27"/>
      <c r="BL103" s="27"/>
      <c r="BM103" s="27"/>
      <c r="BN103" s="27"/>
      <c r="BO103" s="27"/>
      <c r="BP103" s="27"/>
      <c r="BQ103" s="27"/>
      <c r="BR103" s="27"/>
      <c r="BS103" s="27"/>
      <c r="BT103" s="27"/>
      <c r="BU103" s="27"/>
      <c r="BV103" s="27"/>
      <c r="BW103" s="27"/>
      <c r="BX103" s="27"/>
      <c r="BY103" s="27"/>
      <c r="BZ103" s="27"/>
      <c r="CA103" s="27"/>
      <c r="CB103" s="27"/>
      <c r="CC103" s="27"/>
      <c r="CL103" s="24"/>
      <c r="CM103" s="24"/>
      <c r="CN103" s="24"/>
      <c r="CO103" s="24"/>
      <c r="CP103" s="24"/>
      <c r="CQ103" s="24"/>
      <c r="CR103" s="24"/>
      <c r="CS103" s="24"/>
      <c r="CT103" s="24"/>
      <c r="CU103" s="24"/>
      <c r="CV103" s="24"/>
      <c r="CW103" s="24"/>
      <c r="CX103" s="24"/>
      <c r="CY103" s="24"/>
      <c r="CZ103" s="24"/>
      <c r="DA103" s="24"/>
      <c r="DB103" s="24"/>
      <c r="DC103" s="24"/>
      <c r="DD103" s="24"/>
      <c r="DE103" s="24"/>
      <c r="DF103" s="24"/>
    </row>
    <row r="104" spans="5:110" x14ac:dyDescent="0.3">
      <c r="E104" s="27"/>
      <c r="F104" s="27"/>
      <c r="G104" s="27"/>
      <c r="H104" s="27"/>
      <c r="I104" s="27"/>
      <c r="J104" s="27"/>
      <c r="K104" s="27"/>
      <c r="L104" s="27"/>
      <c r="M104" s="27"/>
      <c r="N104" s="27"/>
      <c r="O104" s="27"/>
      <c r="P104" s="27"/>
      <c r="Q104" s="27"/>
      <c r="R104" s="27"/>
      <c r="S104" s="27"/>
      <c r="T104" s="27"/>
      <c r="U104" s="27"/>
      <c r="V104" s="27"/>
      <c r="W104" s="27"/>
      <c r="X104" s="27"/>
      <c r="Y104" s="27"/>
      <c r="Z104" s="27"/>
      <c r="AA104" s="27"/>
      <c r="AB104" s="27"/>
      <c r="AC104" s="27"/>
      <c r="AD104" s="27"/>
      <c r="AE104" s="27"/>
      <c r="AF104" s="27"/>
      <c r="AG104" s="27"/>
      <c r="AH104" s="27"/>
      <c r="AI104" s="27"/>
      <c r="AJ104" s="27"/>
      <c r="AK104" s="27"/>
      <c r="AL104" s="27"/>
      <c r="AM104" s="27"/>
      <c r="AN104" s="27"/>
      <c r="AO104" s="27"/>
      <c r="AP104" s="27"/>
      <c r="AQ104" s="27"/>
      <c r="AR104" s="27"/>
      <c r="AS104" s="27"/>
      <c r="AT104" s="27"/>
      <c r="AU104" s="27"/>
      <c r="AV104" s="27"/>
      <c r="AW104" s="27"/>
      <c r="AX104" s="27"/>
      <c r="AY104" s="27"/>
      <c r="AZ104" s="27"/>
      <c r="BA104" s="27"/>
      <c r="BB104" s="27"/>
      <c r="BC104" s="27"/>
      <c r="BD104" s="27"/>
      <c r="BE104" s="27"/>
      <c r="BF104" s="27"/>
      <c r="BG104" s="27"/>
      <c r="BH104" s="27"/>
      <c r="BI104" s="27"/>
      <c r="BJ104" s="27"/>
      <c r="BK104" s="27"/>
      <c r="BL104" s="27"/>
      <c r="BM104" s="27"/>
      <c r="BN104" s="27"/>
      <c r="BO104" s="27"/>
      <c r="BP104" s="27"/>
      <c r="BQ104" s="27"/>
      <c r="BR104" s="27"/>
      <c r="BS104" s="27"/>
      <c r="BT104" s="27"/>
      <c r="BU104" s="27"/>
      <c r="BV104" s="27"/>
      <c r="BW104" s="27"/>
      <c r="BX104" s="27"/>
      <c r="BY104" s="27"/>
      <c r="BZ104" s="27"/>
      <c r="CA104" s="27"/>
      <c r="CB104" s="27"/>
      <c r="CC104" s="27"/>
      <c r="CL104" s="24"/>
      <c r="CM104" s="24"/>
      <c r="CN104" s="24"/>
      <c r="CO104" s="24"/>
      <c r="CP104" s="24"/>
      <c r="CQ104" s="24"/>
      <c r="CR104" s="24"/>
      <c r="CS104" s="24"/>
      <c r="CT104" s="24"/>
      <c r="CU104" s="24"/>
      <c r="CV104" s="24"/>
      <c r="CW104" s="24"/>
      <c r="CX104" s="24"/>
      <c r="CY104" s="24"/>
      <c r="CZ104" s="24"/>
      <c r="DA104" s="24"/>
      <c r="DB104" s="24"/>
      <c r="DC104" s="24"/>
      <c r="DD104" s="24"/>
      <c r="DE104" s="24"/>
      <c r="DF104" s="24"/>
    </row>
    <row r="105" spans="5:110" x14ac:dyDescent="0.3">
      <c r="E105" s="27"/>
      <c r="F105" s="27"/>
      <c r="G105" s="27"/>
      <c r="H105" s="27"/>
      <c r="I105" s="27"/>
      <c r="J105" s="27"/>
      <c r="K105" s="27"/>
      <c r="L105" s="27"/>
      <c r="M105" s="27"/>
      <c r="N105" s="27"/>
      <c r="O105" s="27"/>
      <c r="P105" s="27"/>
      <c r="Q105" s="27"/>
      <c r="R105" s="27"/>
      <c r="S105" s="27"/>
      <c r="T105" s="27"/>
      <c r="U105" s="27"/>
      <c r="V105" s="27"/>
      <c r="W105" s="27"/>
      <c r="X105" s="27"/>
      <c r="Y105" s="27"/>
      <c r="Z105" s="27"/>
      <c r="AA105" s="27"/>
      <c r="AB105" s="27"/>
      <c r="AC105" s="27"/>
      <c r="AD105" s="27"/>
      <c r="AE105" s="27"/>
      <c r="AF105" s="27"/>
      <c r="AG105" s="27"/>
      <c r="AH105" s="27"/>
      <c r="AI105" s="27"/>
      <c r="AJ105" s="27"/>
      <c r="AK105" s="27"/>
      <c r="AL105" s="27"/>
      <c r="AM105" s="27"/>
      <c r="AN105" s="27"/>
      <c r="AO105" s="27"/>
      <c r="AP105" s="27"/>
      <c r="AQ105" s="27"/>
      <c r="AR105" s="27"/>
      <c r="AS105" s="27"/>
      <c r="AT105" s="27"/>
      <c r="AU105" s="27"/>
      <c r="AV105" s="27"/>
      <c r="AW105" s="27"/>
      <c r="AX105" s="27"/>
      <c r="AY105" s="27"/>
      <c r="AZ105" s="27"/>
      <c r="BA105" s="27"/>
      <c r="BB105" s="27"/>
      <c r="BC105" s="27"/>
      <c r="BD105" s="27"/>
      <c r="BE105" s="27"/>
      <c r="BF105" s="27"/>
      <c r="BG105" s="27"/>
      <c r="BH105" s="27"/>
      <c r="BI105" s="27"/>
      <c r="BJ105" s="27"/>
      <c r="BK105" s="27"/>
      <c r="BL105" s="27"/>
      <c r="BM105" s="27"/>
      <c r="BN105" s="27"/>
      <c r="BO105" s="27"/>
      <c r="BP105" s="27"/>
      <c r="BQ105" s="27"/>
      <c r="BR105" s="27"/>
      <c r="BS105" s="27"/>
      <c r="BT105" s="27"/>
      <c r="BU105" s="27"/>
      <c r="BV105" s="27"/>
      <c r="BW105" s="27"/>
      <c r="BX105" s="27"/>
      <c r="BY105" s="27"/>
      <c r="BZ105" s="27"/>
      <c r="CA105" s="27"/>
      <c r="CB105" s="27"/>
      <c r="CC105" s="27"/>
      <c r="CL105" s="24"/>
      <c r="CM105" s="24"/>
      <c r="CN105" s="24"/>
      <c r="CO105" s="24"/>
      <c r="CP105" s="24"/>
      <c r="CQ105" s="24"/>
      <c r="CR105" s="24"/>
      <c r="CS105" s="24"/>
      <c r="CT105" s="24"/>
      <c r="CU105" s="24"/>
      <c r="CV105" s="24"/>
      <c r="CW105" s="24"/>
      <c r="CX105" s="24"/>
      <c r="CY105" s="24"/>
      <c r="CZ105" s="24"/>
      <c r="DA105" s="24"/>
      <c r="DB105" s="24"/>
      <c r="DC105" s="24"/>
      <c r="DD105" s="24"/>
      <c r="DE105" s="24"/>
      <c r="DF105" s="24"/>
    </row>
    <row r="106" spans="5:110" x14ac:dyDescent="0.3">
      <c r="E106" s="27"/>
      <c r="F106" s="27"/>
      <c r="G106" s="27"/>
      <c r="H106" s="27"/>
      <c r="I106" s="27"/>
      <c r="J106" s="27"/>
      <c r="K106" s="27"/>
      <c r="L106" s="27"/>
      <c r="M106" s="27"/>
      <c r="N106" s="27"/>
      <c r="O106" s="27"/>
      <c r="P106" s="27"/>
      <c r="Q106" s="27"/>
      <c r="R106" s="27"/>
      <c r="S106" s="27"/>
      <c r="T106" s="27"/>
      <c r="U106" s="27"/>
      <c r="V106" s="27"/>
      <c r="W106" s="27"/>
      <c r="X106" s="27"/>
      <c r="Y106" s="27"/>
      <c r="Z106" s="27"/>
      <c r="AA106" s="27"/>
      <c r="AB106" s="27"/>
      <c r="AC106" s="27"/>
      <c r="AD106" s="27"/>
      <c r="AE106" s="27"/>
      <c r="AF106" s="27"/>
      <c r="AG106" s="27"/>
      <c r="AH106" s="27"/>
      <c r="AI106" s="27"/>
      <c r="AJ106" s="27"/>
      <c r="AK106" s="27"/>
      <c r="AL106" s="27"/>
      <c r="AM106" s="27"/>
      <c r="AN106" s="27"/>
      <c r="AO106" s="27"/>
      <c r="AP106" s="27"/>
      <c r="AQ106" s="27"/>
      <c r="AR106" s="27"/>
      <c r="AS106" s="27"/>
      <c r="AT106" s="27"/>
      <c r="AU106" s="27"/>
      <c r="AV106" s="27"/>
      <c r="AW106" s="27"/>
      <c r="AX106" s="27"/>
      <c r="AY106" s="27"/>
      <c r="AZ106" s="27"/>
      <c r="BA106" s="27"/>
      <c r="BB106" s="27"/>
      <c r="BC106" s="27"/>
      <c r="BD106" s="27"/>
      <c r="BE106" s="27"/>
      <c r="BF106" s="27"/>
      <c r="BG106" s="27"/>
      <c r="BH106" s="27"/>
      <c r="BI106" s="27"/>
      <c r="BJ106" s="27"/>
      <c r="BK106" s="27"/>
      <c r="BL106" s="27"/>
      <c r="BM106" s="27"/>
      <c r="BN106" s="27"/>
      <c r="BO106" s="27"/>
      <c r="BP106" s="27"/>
      <c r="BQ106" s="27"/>
      <c r="BR106" s="27"/>
      <c r="BS106" s="27"/>
      <c r="BT106" s="27"/>
      <c r="BU106" s="27"/>
      <c r="BV106" s="27"/>
      <c r="BW106" s="27"/>
      <c r="BX106" s="27"/>
      <c r="BY106" s="27"/>
      <c r="BZ106" s="27"/>
      <c r="CA106" s="27"/>
      <c r="CB106" s="27"/>
      <c r="CC106" s="27"/>
      <c r="CL106" s="24"/>
      <c r="CM106" s="24"/>
      <c r="CN106" s="24"/>
      <c r="CO106" s="24"/>
      <c r="CP106" s="24"/>
      <c r="CQ106" s="24"/>
      <c r="CR106" s="24"/>
      <c r="CS106" s="24"/>
      <c r="CT106" s="24"/>
      <c r="CU106" s="24"/>
      <c r="CV106" s="24"/>
      <c r="CW106" s="24"/>
      <c r="CX106" s="24"/>
      <c r="CY106" s="24"/>
      <c r="CZ106" s="24"/>
      <c r="DA106" s="24"/>
      <c r="DB106" s="24"/>
      <c r="DC106" s="24"/>
      <c r="DD106" s="24"/>
      <c r="DE106" s="24"/>
      <c r="DF106" s="24"/>
    </row>
    <row r="107" spans="5:110" x14ac:dyDescent="0.3">
      <c r="E107" s="27"/>
      <c r="F107" s="27"/>
      <c r="G107" s="27"/>
      <c r="H107" s="27"/>
      <c r="I107" s="27"/>
      <c r="J107" s="27"/>
      <c r="K107" s="27"/>
      <c r="L107" s="27"/>
      <c r="M107" s="27"/>
      <c r="N107" s="27"/>
      <c r="O107" s="27"/>
      <c r="P107" s="27"/>
      <c r="Q107" s="27"/>
      <c r="R107" s="27"/>
      <c r="S107" s="27"/>
      <c r="T107" s="27"/>
      <c r="U107" s="27"/>
      <c r="V107" s="27"/>
      <c r="W107" s="27"/>
      <c r="X107" s="27"/>
      <c r="Y107" s="27"/>
      <c r="Z107" s="27"/>
      <c r="AA107" s="27"/>
      <c r="AB107" s="27"/>
      <c r="AC107" s="27"/>
      <c r="AD107" s="27"/>
      <c r="AE107" s="27"/>
      <c r="AF107" s="27"/>
      <c r="AG107" s="27"/>
      <c r="AH107" s="27"/>
      <c r="AI107" s="27"/>
      <c r="AJ107" s="27"/>
      <c r="AK107" s="27"/>
      <c r="AL107" s="27"/>
      <c r="AM107" s="27"/>
      <c r="AN107" s="27"/>
      <c r="AO107" s="27"/>
      <c r="AP107" s="27"/>
      <c r="AQ107" s="27"/>
      <c r="AR107" s="27"/>
      <c r="AS107" s="27"/>
      <c r="AT107" s="27"/>
      <c r="AU107" s="27"/>
      <c r="AV107" s="27"/>
      <c r="AW107" s="27"/>
      <c r="AX107" s="27"/>
      <c r="AY107" s="27"/>
      <c r="AZ107" s="27"/>
      <c r="BA107" s="27"/>
      <c r="BB107" s="27"/>
      <c r="BC107" s="27"/>
      <c r="BD107" s="27"/>
      <c r="BE107" s="27"/>
      <c r="BF107" s="27"/>
      <c r="BG107" s="27"/>
      <c r="BH107" s="27"/>
      <c r="BI107" s="27"/>
      <c r="BJ107" s="27"/>
      <c r="BK107" s="27"/>
      <c r="BL107" s="27"/>
      <c r="BM107" s="27"/>
      <c r="BN107" s="27"/>
      <c r="BO107" s="27"/>
      <c r="BP107" s="27"/>
      <c r="BQ107" s="27"/>
      <c r="BR107" s="27"/>
      <c r="BS107" s="27"/>
      <c r="BT107" s="27"/>
      <c r="BU107" s="27"/>
      <c r="BV107" s="27"/>
      <c r="BW107" s="27"/>
      <c r="BX107" s="27"/>
      <c r="BY107" s="27"/>
      <c r="BZ107" s="27"/>
      <c r="CA107" s="27"/>
      <c r="CB107" s="27"/>
      <c r="CC107" s="27"/>
      <c r="CL107" s="24"/>
      <c r="CM107" s="24"/>
      <c r="CN107" s="24"/>
      <c r="CO107" s="24"/>
      <c r="CP107" s="24"/>
      <c r="CQ107" s="24"/>
      <c r="CR107" s="24"/>
      <c r="CS107" s="24"/>
      <c r="CT107" s="24"/>
      <c r="CU107" s="24"/>
      <c r="CV107" s="24"/>
      <c r="CW107" s="24"/>
      <c r="CX107" s="24"/>
      <c r="CY107" s="24"/>
      <c r="CZ107" s="24"/>
      <c r="DA107" s="24"/>
      <c r="DB107" s="24"/>
      <c r="DC107" s="24"/>
      <c r="DD107" s="24"/>
      <c r="DE107" s="24"/>
      <c r="DF107" s="24"/>
    </row>
    <row r="108" spans="5:110" x14ac:dyDescent="0.3">
      <c r="E108" s="27"/>
      <c r="F108" s="27"/>
      <c r="G108" s="27"/>
      <c r="H108" s="27"/>
      <c r="I108" s="27"/>
      <c r="J108" s="27"/>
      <c r="K108" s="27"/>
      <c r="L108" s="27"/>
      <c r="M108" s="27"/>
      <c r="N108" s="27"/>
      <c r="O108" s="27"/>
      <c r="P108" s="27"/>
      <c r="Q108" s="27"/>
      <c r="R108" s="27"/>
      <c r="S108" s="27"/>
      <c r="T108" s="27"/>
      <c r="U108" s="27"/>
      <c r="V108" s="27"/>
      <c r="W108" s="27"/>
      <c r="X108" s="27"/>
      <c r="Y108" s="27"/>
      <c r="Z108" s="27"/>
      <c r="AA108" s="27"/>
      <c r="AB108" s="27"/>
      <c r="AC108" s="27"/>
      <c r="AD108" s="27"/>
      <c r="AE108" s="27"/>
      <c r="AF108" s="27"/>
      <c r="AG108" s="27"/>
      <c r="AH108" s="27"/>
      <c r="AI108" s="27"/>
      <c r="AJ108" s="27"/>
      <c r="AK108" s="27"/>
      <c r="AL108" s="27"/>
      <c r="AM108" s="27"/>
      <c r="AN108" s="27"/>
      <c r="AO108" s="27"/>
      <c r="AP108" s="27"/>
      <c r="AQ108" s="27"/>
      <c r="AR108" s="27"/>
      <c r="AS108" s="27"/>
      <c r="AT108" s="27"/>
      <c r="AU108" s="27"/>
      <c r="AV108" s="27"/>
      <c r="AW108" s="27"/>
      <c r="AX108" s="27"/>
      <c r="AY108" s="27"/>
      <c r="AZ108" s="27"/>
      <c r="BA108" s="27"/>
      <c r="BB108" s="27"/>
      <c r="BC108" s="27"/>
      <c r="BD108" s="27"/>
      <c r="BE108" s="27"/>
      <c r="BF108" s="27"/>
      <c r="BG108" s="27"/>
      <c r="BH108" s="27"/>
      <c r="BI108" s="27"/>
      <c r="BJ108" s="27"/>
      <c r="BK108" s="27"/>
      <c r="BL108" s="27"/>
      <c r="BM108" s="27"/>
      <c r="BN108" s="27"/>
      <c r="BO108" s="27"/>
      <c r="BP108" s="27"/>
      <c r="BQ108" s="27"/>
      <c r="BR108" s="27"/>
      <c r="BS108" s="27"/>
      <c r="BT108" s="27"/>
      <c r="BU108" s="27"/>
      <c r="BV108" s="27"/>
      <c r="BW108" s="27"/>
      <c r="BX108" s="27"/>
      <c r="BY108" s="27"/>
      <c r="BZ108" s="27"/>
      <c r="CA108" s="27"/>
      <c r="CB108" s="27"/>
      <c r="CC108" s="27"/>
      <c r="CL108" s="24"/>
      <c r="CM108" s="24"/>
      <c r="CN108" s="24"/>
      <c r="CO108" s="24"/>
      <c r="CP108" s="24"/>
      <c r="CQ108" s="24"/>
      <c r="CR108" s="24"/>
      <c r="CS108" s="24"/>
      <c r="CT108" s="24"/>
      <c r="CU108" s="24"/>
      <c r="CV108" s="24"/>
      <c r="CW108" s="24"/>
      <c r="CX108" s="24"/>
      <c r="CY108" s="24"/>
      <c r="CZ108" s="24"/>
      <c r="DA108" s="24"/>
      <c r="DB108" s="24"/>
      <c r="DC108" s="24"/>
      <c r="DD108" s="24"/>
      <c r="DE108" s="24"/>
      <c r="DF108" s="24"/>
    </row>
    <row r="109" spans="5:110" x14ac:dyDescent="0.3">
      <c r="E109" s="27"/>
      <c r="F109" s="27"/>
      <c r="G109" s="27"/>
      <c r="H109" s="27"/>
      <c r="I109" s="27"/>
      <c r="J109" s="27"/>
      <c r="K109" s="27"/>
      <c r="L109" s="27"/>
      <c r="M109" s="27"/>
      <c r="N109" s="27"/>
      <c r="O109" s="27"/>
      <c r="P109" s="27"/>
      <c r="Q109" s="27"/>
      <c r="R109" s="27"/>
      <c r="S109" s="27"/>
      <c r="T109" s="27"/>
      <c r="U109" s="27"/>
      <c r="V109" s="27"/>
      <c r="W109" s="27"/>
      <c r="X109" s="27"/>
      <c r="Y109" s="27"/>
      <c r="Z109" s="27"/>
      <c r="AA109" s="27"/>
      <c r="AB109" s="27"/>
      <c r="AC109" s="27"/>
      <c r="AD109" s="27"/>
      <c r="AE109" s="27"/>
      <c r="AF109" s="27"/>
      <c r="AG109" s="27"/>
      <c r="AH109" s="27"/>
      <c r="AI109" s="27"/>
      <c r="AJ109" s="27"/>
      <c r="AK109" s="27"/>
      <c r="AL109" s="27"/>
      <c r="AM109" s="27"/>
      <c r="AN109" s="27"/>
      <c r="AO109" s="27"/>
      <c r="AP109" s="27"/>
      <c r="AQ109" s="27"/>
      <c r="AR109" s="27"/>
      <c r="AS109" s="27"/>
      <c r="AT109" s="27"/>
      <c r="AU109" s="27"/>
      <c r="AV109" s="27"/>
      <c r="AW109" s="27"/>
      <c r="AX109" s="27"/>
      <c r="AY109" s="27"/>
      <c r="AZ109" s="27"/>
      <c r="BA109" s="27"/>
      <c r="BB109" s="27"/>
      <c r="BC109" s="27"/>
      <c r="BD109" s="27"/>
      <c r="BE109" s="27"/>
      <c r="BF109" s="27"/>
      <c r="BG109" s="27"/>
      <c r="BH109" s="27"/>
      <c r="BI109" s="27"/>
      <c r="BJ109" s="27"/>
      <c r="BK109" s="27"/>
      <c r="BL109" s="27"/>
      <c r="BM109" s="27"/>
      <c r="BN109" s="27"/>
      <c r="BO109" s="27"/>
      <c r="BP109" s="27"/>
      <c r="BQ109" s="27"/>
      <c r="BR109" s="27"/>
      <c r="BS109" s="27"/>
      <c r="BT109" s="27"/>
      <c r="BU109" s="27"/>
      <c r="BV109" s="27"/>
      <c r="BW109" s="27"/>
      <c r="BX109" s="27"/>
      <c r="BY109" s="27"/>
      <c r="BZ109" s="27"/>
      <c r="CA109" s="27"/>
      <c r="CB109" s="27"/>
      <c r="CC109" s="27"/>
      <c r="CL109" s="24"/>
      <c r="CM109" s="24"/>
      <c r="CN109" s="24"/>
      <c r="CO109" s="24"/>
      <c r="CP109" s="24"/>
      <c r="CQ109" s="24"/>
      <c r="CR109" s="24"/>
      <c r="CS109" s="24"/>
      <c r="CT109" s="24"/>
      <c r="CU109" s="24"/>
      <c r="CV109" s="24"/>
      <c r="CW109" s="24"/>
      <c r="CX109" s="24"/>
      <c r="CY109" s="24"/>
      <c r="CZ109" s="24"/>
      <c r="DA109" s="24"/>
      <c r="DB109" s="24"/>
      <c r="DC109" s="24"/>
      <c r="DD109" s="24"/>
      <c r="DE109" s="24"/>
      <c r="DF109" s="24"/>
    </row>
    <row r="110" spans="5:110" x14ac:dyDescent="0.3">
      <c r="E110" s="27"/>
      <c r="F110" s="27"/>
      <c r="G110" s="27"/>
      <c r="H110" s="27"/>
      <c r="I110" s="27"/>
      <c r="J110" s="27"/>
      <c r="K110" s="27"/>
      <c r="L110" s="27"/>
      <c r="M110" s="27"/>
      <c r="N110" s="27"/>
      <c r="O110" s="27"/>
      <c r="P110" s="27"/>
      <c r="Q110" s="27"/>
      <c r="R110" s="27"/>
      <c r="S110" s="27"/>
      <c r="T110" s="27"/>
      <c r="U110" s="27"/>
      <c r="V110" s="27"/>
      <c r="W110" s="27"/>
      <c r="X110" s="27"/>
      <c r="Y110" s="27"/>
      <c r="Z110" s="27"/>
      <c r="AA110" s="27"/>
      <c r="AB110" s="27"/>
      <c r="AC110" s="27"/>
      <c r="AD110" s="27"/>
      <c r="AE110" s="27"/>
      <c r="AF110" s="27"/>
      <c r="AG110" s="27"/>
      <c r="AH110" s="27"/>
      <c r="AI110" s="27"/>
      <c r="AJ110" s="27"/>
      <c r="AK110" s="27"/>
      <c r="AL110" s="27"/>
      <c r="AM110" s="27"/>
      <c r="AN110" s="27"/>
      <c r="AO110" s="27"/>
      <c r="AP110" s="27"/>
      <c r="AQ110" s="27"/>
      <c r="AR110" s="27"/>
      <c r="AS110" s="27"/>
      <c r="AT110" s="27"/>
      <c r="AU110" s="27"/>
      <c r="AV110" s="27"/>
      <c r="AW110" s="27"/>
      <c r="AX110" s="27"/>
      <c r="AY110" s="27"/>
      <c r="AZ110" s="27"/>
      <c r="BA110" s="27"/>
      <c r="BB110" s="27"/>
      <c r="BC110" s="27"/>
      <c r="BD110" s="27"/>
      <c r="BE110" s="27"/>
      <c r="BF110" s="27"/>
      <c r="BG110" s="27"/>
      <c r="BH110" s="27"/>
      <c r="BI110" s="27"/>
      <c r="BJ110" s="27"/>
      <c r="BK110" s="27"/>
      <c r="BL110" s="27"/>
      <c r="BM110" s="27"/>
      <c r="BN110" s="27"/>
      <c r="BO110" s="27"/>
      <c r="BP110" s="27"/>
      <c r="BQ110" s="27"/>
      <c r="BR110" s="27"/>
      <c r="BS110" s="27"/>
      <c r="BT110" s="27"/>
      <c r="BU110" s="27"/>
      <c r="BV110" s="27"/>
      <c r="BW110" s="27"/>
      <c r="BX110" s="27"/>
      <c r="BY110" s="27"/>
      <c r="BZ110" s="27"/>
      <c r="CA110" s="27"/>
      <c r="CB110" s="27"/>
      <c r="CC110" s="27"/>
      <c r="CL110" s="24"/>
      <c r="CM110" s="24"/>
      <c r="CN110" s="24"/>
      <c r="CO110" s="24"/>
      <c r="CP110" s="24"/>
      <c r="CQ110" s="24"/>
      <c r="CR110" s="24"/>
      <c r="CS110" s="24"/>
      <c r="CT110" s="24"/>
      <c r="CU110" s="24"/>
      <c r="CV110" s="24"/>
      <c r="CW110" s="24"/>
      <c r="CX110" s="24"/>
      <c r="CY110" s="24"/>
      <c r="CZ110" s="24"/>
      <c r="DA110" s="24"/>
      <c r="DB110" s="24"/>
      <c r="DC110" s="24"/>
      <c r="DD110" s="24"/>
      <c r="DE110" s="24"/>
      <c r="DF110" s="24"/>
    </row>
    <row r="111" spans="5:110" x14ac:dyDescent="0.3">
      <c r="E111" s="27"/>
      <c r="F111" s="27"/>
      <c r="G111" s="27"/>
      <c r="H111" s="27"/>
      <c r="I111" s="27"/>
      <c r="J111" s="27"/>
      <c r="K111" s="27"/>
      <c r="L111" s="27"/>
      <c r="M111" s="27"/>
      <c r="N111" s="27"/>
      <c r="O111" s="27"/>
      <c r="P111" s="27"/>
      <c r="Q111" s="27"/>
      <c r="R111" s="27"/>
      <c r="S111" s="27"/>
      <c r="T111" s="27"/>
      <c r="U111" s="27"/>
      <c r="V111" s="27"/>
      <c r="W111" s="27"/>
      <c r="X111" s="27"/>
      <c r="Y111" s="27"/>
      <c r="Z111" s="27"/>
      <c r="AA111" s="27"/>
      <c r="AB111" s="27"/>
      <c r="AC111" s="27"/>
      <c r="AD111" s="27"/>
      <c r="AE111" s="27"/>
      <c r="AF111" s="27"/>
      <c r="AG111" s="27"/>
      <c r="AH111" s="27"/>
      <c r="AI111" s="27"/>
      <c r="AJ111" s="27"/>
      <c r="AK111" s="27"/>
      <c r="AL111" s="27"/>
      <c r="AM111" s="27"/>
      <c r="AN111" s="27"/>
      <c r="AO111" s="27"/>
      <c r="AP111" s="27"/>
      <c r="AQ111" s="27"/>
      <c r="AR111" s="27"/>
      <c r="AS111" s="27"/>
      <c r="AT111" s="27"/>
      <c r="AU111" s="27"/>
      <c r="AV111" s="27"/>
      <c r="AW111" s="27"/>
      <c r="AX111" s="27"/>
      <c r="AY111" s="27"/>
      <c r="AZ111" s="27"/>
      <c r="BA111" s="27"/>
      <c r="BB111" s="27"/>
      <c r="BC111" s="27"/>
      <c r="BD111" s="27"/>
      <c r="BE111" s="27"/>
      <c r="BF111" s="27"/>
      <c r="BG111" s="27"/>
      <c r="BH111" s="27"/>
      <c r="BI111" s="27"/>
      <c r="BJ111" s="27"/>
      <c r="BK111" s="27"/>
      <c r="BL111" s="27"/>
      <c r="BM111" s="27"/>
      <c r="BN111" s="27"/>
      <c r="BO111" s="27"/>
      <c r="BP111" s="27"/>
      <c r="BQ111" s="27"/>
      <c r="BR111" s="27"/>
      <c r="BS111" s="27"/>
      <c r="BT111" s="27"/>
      <c r="BU111" s="27"/>
      <c r="BV111" s="27"/>
      <c r="BW111" s="27"/>
      <c r="BX111" s="27"/>
      <c r="BY111" s="27"/>
      <c r="BZ111" s="27"/>
      <c r="CA111" s="27"/>
      <c r="CB111" s="27"/>
      <c r="CC111" s="27"/>
      <c r="CL111" s="24"/>
      <c r="CM111" s="24"/>
      <c r="CN111" s="24"/>
      <c r="CO111" s="24"/>
      <c r="CP111" s="24"/>
      <c r="CQ111" s="24"/>
      <c r="CR111" s="24"/>
      <c r="CS111" s="24"/>
      <c r="CT111" s="24"/>
      <c r="CU111" s="24"/>
      <c r="CV111" s="24"/>
      <c r="CW111" s="24"/>
      <c r="CX111" s="24"/>
      <c r="CY111" s="24"/>
      <c r="CZ111" s="24"/>
      <c r="DA111" s="24"/>
      <c r="DB111" s="24"/>
      <c r="DC111" s="24"/>
      <c r="DD111" s="24"/>
      <c r="DE111" s="24"/>
      <c r="DF111" s="24"/>
    </row>
    <row r="112" spans="5:110" x14ac:dyDescent="0.3">
      <c r="E112" s="27"/>
      <c r="F112" s="27"/>
      <c r="G112" s="27"/>
      <c r="H112" s="27"/>
      <c r="I112" s="27"/>
      <c r="J112" s="27"/>
      <c r="K112" s="27"/>
      <c r="L112" s="27"/>
      <c r="M112" s="27"/>
      <c r="N112" s="27"/>
      <c r="O112" s="27"/>
      <c r="P112" s="27"/>
      <c r="Q112" s="27"/>
      <c r="R112" s="27"/>
      <c r="S112" s="27"/>
      <c r="T112" s="27"/>
      <c r="U112" s="27"/>
      <c r="V112" s="27"/>
      <c r="W112" s="27"/>
      <c r="X112" s="27"/>
      <c r="Y112" s="27"/>
      <c r="Z112" s="27"/>
      <c r="AA112" s="27"/>
      <c r="AB112" s="27"/>
      <c r="AC112" s="27"/>
      <c r="AD112" s="27"/>
      <c r="AE112" s="27"/>
      <c r="AF112" s="27"/>
      <c r="AG112" s="27"/>
      <c r="AH112" s="27"/>
      <c r="AI112" s="27"/>
      <c r="AJ112" s="27"/>
      <c r="AK112" s="27"/>
      <c r="AL112" s="27"/>
      <c r="AM112" s="27"/>
      <c r="AN112" s="27"/>
      <c r="AO112" s="27"/>
      <c r="AP112" s="27"/>
      <c r="AQ112" s="27"/>
      <c r="AR112" s="27"/>
      <c r="AS112" s="27"/>
      <c r="AT112" s="27"/>
      <c r="AU112" s="27"/>
      <c r="AV112" s="27"/>
      <c r="AW112" s="27"/>
      <c r="AX112" s="27"/>
      <c r="AY112" s="27"/>
      <c r="AZ112" s="27"/>
      <c r="BA112" s="27"/>
      <c r="BB112" s="27"/>
      <c r="BC112" s="27"/>
      <c r="BD112" s="27"/>
      <c r="BE112" s="27"/>
      <c r="BF112" s="27"/>
      <c r="BG112" s="27"/>
      <c r="BH112" s="27"/>
      <c r="BI112" s="27"/>
      <c r="BJ112" s="27"/>
      <c r="BK112" s="27"/>
      <c r="BL112" s="27"/>
      <c r="BM112" s="27"/>
      <c r="BN112" s="27"/>
      <c r="BO112" s="27"/>
      <c r="BP112" s="27"/>
      <c r="BQ112" s="27"/>
      <c r="BR112" s="27"/>
      <c r="BS112" s="27"/>
      <c r="BT112" s="27"/>
      <c r="BU112" s="27"/>
      <c r="BV112" s="27"/>
      <c r="BW112" s="27"/>
      <c r="BX112" s="27"/>
      <c r="BY112" s="27"/>
      <c r="BZ112" s="27"/>
      <c r="CA112" s="27"/>
      <c r="CB112" s="27"/>
      <c r="CC112" s="27"/>
      <c r="CL112" s="24"/>
      <c r="CM112" s="24"/>
      <c r="CN112" s="24"/>
      <c r="CO112" s="24"/>
      <c r="CP112" s="24"/>
      <c r="CQ112" s="24"/>
      <c r="CR112" s="24"/>
      <c r="CS112" s="24"/>
      <c r="CT112" s="24"/>
      <c r="CU112" s="24"/>
      <c r="CV112" s="24"/>
      <c r="CW112" s="24"/>
      <c r="CX112" s="24"/>
      <c r="CY112" s="24"/>
      <c r="CZ112" s="24"/>
      <c r="DA112" s="24"/>
      <c r="DB112" s="24"/>
      <c r="DC112" s="24"/>
      <c r="DD112" s="24"/>
      <c r="DE112" s="24"/>
      <c r="DF112" s="24"/>
    </row>
    <row r="113" spans="5:110" x14ac:dyDescent="0.3">
      <c r="E113" s="27"/>
      <c r="F113" s="27"/>
      <c r="G113" s="27"/>
      <c r="H113" s="27"/>
      <c r="I113" s="27"/>
      <c r="J113" s="27"/>
      <c r="K113" s="27"/>
      <c r="L113" s="27"/>
      <c r="M113" s="27"/>
      <c r="N113" s="27"/>
      <c r="O113" s="27"/>
      <c r="P113" s="27"/>
      <c r="Q113" s="27"/>
      <c r="R113" s="27"/>
      <c r="S113" s="27"/>
      <c r="T113" s="27"/>
      <c r="U113" s="27"/>
      <c r="V113" s="27"/>
      <c r="W113" s="27"/>
      <c r="X113" s="27"/>
      <c r="Y113" s="27"/>
      <c r="Z113" s="27"/>
      <c r="AA113" s="27"/>
      <c r="AB113" s="27"/>
      <c r="AC113" s="27"/>
      <c r="AD113" s="27"/>
      <c r="AE113" s="27"/>
      <c r="AF113" s="27"/>
      <c r="AG113" s="27"/>
      <c r="AH113" s="27"/>
      <c r="AI113" s="27"/>
      <c r="AJ113" s="27"/>
      <c r="AK113" s="27"/>
      <c r="AL113" s="27"/>
      <c r="AM113" s="27"/>
      <c r="AN113" s="27"/>
      <c r="AO113" s="27"/>
      <c r="AP113" s="27"/>
      <c r="AQ113" s="27"/>
      <c r="AR113" s="27"/>
      <c r="AS113" s="27"/>
      <c r="AT113" s="27"/>
      <c r="AU113" s="27"/>
      <c r="AV113" s="27"/>
      <c r="AW113" s="27"/>
      <c r="AX113" s="27"/>
      <c r="AY113" s="27"/>
      <c r="AZ113" s="27"/>
      <c r="BA113" s="27"/>
      <c r="BB113" s="27"/>
      <c r="BC113" s="27"/>
      <c r="BD113" s="27"/>
      <c r="BE113" s="27"/>
      <c r="BF113" s="27"/>
      <c r="BG113" s="27"/>
      <c r="BH113" s="27"/>
      <c r="BI113" s="27"/>
      <c r="BJ113" s="27"/>
      <c r="BK113" s="27"/>
      <c r="BL113" s="27"/>
      <c r="BM113" s="27"/>
      <c r="BN113" s="27"/>
      <c r="BO113" s="27"/>
      <c r="BP113" s="27"/>
      <c r="BQ113" s="27"/>
      <c r="BR113" s="27"/>
      <c r="BS113" s="27"/>
      <c r="BT113" s="27"/>
      <c r="BU113" s="27"/>
      <c r="BV113" s="27"/>
      <c r="BW113" s="27"/>
      <c r="BX113" s="27"/>
      <c r="BY113" s="27"/>
      <c r="BZ113" s="27"/>
      <c r="CA113" s="27"/>
      <c r="CB113" s="27"/>
      <c r="CC113" s="27"/>
      <c r="CL113" s="24"/>
      <c r="CM113" s="24"/>
      <c r="CN113" s="24"/>
      <c r="CO113" s="24"/>
      <c r="CP113" s="24"/>
      <c r="CQ113" s="24"/>
      <c r="CR113" s="24"/>
      <c r="CS113" s="24"/>
      <c r="CT113" s="24"/>
      <c r="CU113" s="24"/>
      <c r="CV113" s="24"/>
      <c r="CW113" s="24"/>
      <c r="CX113" s="24"/>
      <c r="CY113" s="24"/>
      <c r="CZ113" s="24"/>
      <c r="DA113" s="24"/>
      <c r="DB113" s="24"/>
      <c r="DC113" s="24"/>
      <c r="DD113" s="24"/>
      <c r="DE113" s="24"/>
      <c r="DF113" s="24"/>
    </row>
    <row r="114" spans="5:110" x14ac:dyDescent="0.3">
      <c r="E114" s="27"/>
      <c r="F114" s="27"/>
      <c r="G114" s="27"/>
      <c r="H114" s="27"/>
      <c r="I114" s="27"/>
      <c r="J114" s="27"/>
      <c r="K114" s="27"/>
      <c r="L114" s="27"/>
      <c r="M114" s="27"/>
      <c r="N114" s="27"/>
      <c r="O114" s="27"/>
      <c r="P114" s="27"/>
      <c r="Q114" s="27"/>
      <c r="R114" s="27"/>
      <c r="S114" s="27"/>
      <c r="T114" s="27"/>
      <c r="U114" s="27"/>
      <c r="V114" s="27"/>
      <c r="W114" s="27"/>
      <c r="X114" s="27"/>
      <c r="Y114" s="27"/>
      <c r="Z114" s="27"/>
      <c r="AA114" s="27"/>
      <c r="AB114" s="27"/>
      <c r="AC114" s="27"/>
      <c r="AD114" s="27"/>
      <c r="AE114" s="27"/>
      <c r="AF114" s="27"/>
      <c r="AG114" s="27"/>
      <c r="AH114" s="27"/>
      <c r="AI114" s="27"/>
      <c r="AJ114" s="27"/>
      <c r="AK114" s="27"/>
      <c r="AL114" s="27"/>
      <c r="AM114" s="27"/>
      <c r="AN114" s="27"/>
      <c r="AO114" s="27"/>
      <c r="AP114" s="27"/>
      <c r="AQ114" s="27"/>
      <c r="AR114" s="27"/>
      <c r="AS114" s="27"/>
      <c r="AT114" s="27"/>
      <c r="AU114" s="27"/>
      <c r="AV114" s="27"/>
      <c r="AW114" s="27"/>
      <c r="AX114" s="27"/>
      <c r="AY114" s="27"/>
      <c r="AZ114" s="27"/>
      <c r="BA114" s="27"/>
      <c r="BB114" s="27"/>
      <c r="BC114" s="27"/>
      <c r="BD114" s="27"/>
      <c r="BE114" s="27"/>
      <c r="BF114" s="27"/>
      <c r="BG114" s="27"/>
      <c r="BH114" s="27"/>
      <c r="BI114" s="27"/>
      <c r="BJ114" s="27"/>
      <c r="BK114" s="27"/>
      <c r="BL114" s="27"/>
      <c r="BM114" s="27"/>
      <c r="BN114" s="27"/>
      <c r="BO114" s="27"/>
      <c r="BP114" s="27"/>
      <c r="BQ114" s="27"/>
      <c r="BR114" s="27"/>
      <c r="BS114" s="27"/>
      <c r="BT114" s="27"/>
      <c r="BU114" s="27"/>
      <c r="BV114" s="27"/>
      <c r="BW114" s="27"/>
      <c r="BX114" s="27"/>
      <c r="BY114" s="27"/>
      <c r="BZ114" s="27"/>
      <c r="CA114" s="27"/>
      <c r="CB114" s="27"/>
      <c r="CC114" s="27"/>
      <c r="CL114" s="24"/>
      <c r="CM114" s="24"/>
      <c r="CN114" s="24"/>
      <c r="CO114" s="24"/>
      <c r="CP114" s="24"/>
      <c r="CQ114" s="24"/>
      <c r="CR114" s="24"/>
      <c r="CS114" s="24"/>
      <c r="CT114" s="24"/>
      <c r="CU114" s="24"/>
      <c r="CV114" s="24"/>
      <c r="CW114" s="24"/>
      <c r="CX114" s="24"/>
      <c r="CY114" s="24"/>
      <c r="CZ114" s="24"/>
      <c r="DA114" s="24"/>
      <c r="DB114" s="24"/>
      <c r="DC114" s="24"/>
      <c r="DD114" s="24"/>
      <c r="DE114" s="24"/>
      <c r="DF114" s="24"/>
    </row>
    <row r="115" spans="5:110" x14ac:dyDescent="0.3">
      <c r="E115" s="27"/>
      <c r="F115" s="27"/>
      <c r="G115" s="27"/>
      <c r="H115" s="27"/>
      <c r="I115" s="27"/>
      <c r="J115" s="27"/>
      <c r="K115" s="27"/>
      <c r="L115" s="27"/>
      <c r="M115" s="27"/>
      <c r="N115" s="27"/>
      <c r="O115" s="27"/>
      <c r="P115" s="27"/>
      <c r="Q115" s="27"/>
      <c r="R115" s="27"/>
      <c r="S115" s="27"/>
      <c r="T115" s="27"/>
      <c r="U115" s="27"/>
      <c r="V115" s="27"/>
      <c r="W115" s="27"/>
      <c r="X115" s="27"/>
      <c r="Y115" s="27"/>
      <c r="Z115" s="27"/>
      <c r="AA115" s="27"/>
      <c r="AB115" s="27"/>
      <c r="AC115" s="27"/>
      <c r="AD115" s="27"/>
      <c r="AE115" s="27"/>
      <c r="AF115" s="27"/>
      <c r="AG115" s="27"/>
      <c r="AH115" s="27"/>
      <c r="AI115" s="27"/>
      <c r="AJ115" s="27"/>
      <c r="AK115" s="27"/>
      <c r="AL115" s="27"/>
      <c r="AM115" s="27"/>
      <c r="AN115" s="27"/>
      <c r="AO115" s="27"/>
      <c r="AP115" s="27"/>
      <c r="AQ115" s="27"/>
      <c r="AR115" s="27"/>
      <c r="AS115" s="27"/>
      <c r="AT115" s="27"/>
      <c r="AU115" s="27"/>
      <c r="AV115" s="27"/>
      <c r="AW115" s="27"/>
      <c r="AX115" s="27"/>
      <c r="AY115" s="27"/>
      <c r="AZ115" s="27"/>
      <c r="BA115" s="27"/>
      <c r="BB115" s="27"/>
      <c r="BC115" s="27"/>
      <c r="BD115" s="27"/>
      <c r="BE115" s="27"/>
      <c r="BF115" s="27"/>
      <c r="BG115" s="27"/>
      <c r="BH115" s="27"/>
      <c r="BI115" s="27"/>
      <c r="BJ115" s="27"/>
      <c r="BK115" s="27"/>
      <c r="BL115" s="27"/>
      <c r="BM115" s="27"/>
      <c r="BN115" s="27"/>
      <c r="BO115" s="27"/>
      <c r="BP115" s="27"/>
      <c r="BQ115" s="27"/>
      <c r="BR115" s="27"/>
      <c r="BS115" s="27"/>
      <c r="BT115" s="27"/>
      <c r="BU115" s="27"/>
      <c r="BV115" s="27"/>
      <c r="BW115" s="27"/>
      <c r="BX115" s="27"/>
      <c r="BY115" s="27"/>
      <c r="BZ115" s="27"/>
      <c r="CA115" s="27"/>
      <c r="CB115" s="27"/>
      <c r="CC115" s="27"/>
      <c r="CL115" s="24"/>
      <c r="CM115" s="24"/>
      <c r="CN115" s="24"/>
      <c r="CO115" s="24"/>
      <c r="CP115" s="24"/>
      <c r="CQ115" s="24"/>
      <c r="CR115" s="24"/>
      <c r="CS115" s="24"/>
      <c r="CT115" s="24"/>
      <c r="CU115" s="24"/>
      <c r="CV115" s="24"/>
      <c r="CW115" s="24"/>
      <c r="CX115" s="24"/>
      <c r="CY115" s="24"/>
      <c r="CZ115" s="24"/>
      <c r="DA115" s="24"/>
      <c r="DB115" s="24"/>
      <c r="DC115" s="24"/>
      <c r="DD115" s="24"/>
      <c r="DE115" s="24"/>
      <c r="DF115" s="24"/>
    </row>
    <row r="116" spans="5:110" x14ac:dyDescent="0.3">
      <c r="E116" s="27"/>
      <c r="F116" s="27"/>
      <c r="G116" s="27"/>
      <c r="H116" s="27"/>
      <c r="I116" s="27"/>
      <c r="J116" s="27"/>
      <c r="K116" s="27"/>
      <c r="L116" s="27"/>
      <c r="M116" s="27"/>
      <c r="N116" s="27"/>
      <c r="O116" s="27"/>
      <c r="P116" s="27"/>
      <c r="Q116" s="27"/>
      <c r="R116" s="27"/>
      <c r="S116" s="27"/>
      <c r="T116" s="27"/>
      <c r="U116" s="27"/>
      <c r="V116" s="27"/>
      <c r="W116" s="27"/>
      <c r="X116" s="27"/>
      <c r="Y116" s="27"/>
      <c r="Z116" s="27"/>
      <c r="AA116" s="27"/>
      <c r="AB116" s="27"/>
      <c r="AC116" s="27"/>
      <c r="AD116" s="27"/>
      <c r="AE116" s="27"/>
      <c r="AF116" s="27"/>
      <c r="AG116" s="27"/>
      <c r="AH116" s="27"/>
      <c r="AI116" s="27"/>
      <c r="AJ116" s="27"/>
      <c r="AK116" s="27"/>
      <c r="AL116" s="27"/>
      <c r="AM116" s="27"/>
      <c r="AN116" s="27"/>
      <c r="AO116" s="27"/>
      <c r="AP116" s="27"/>
      <c r="AQ116" s="27"/>
      <c r="AR116" s="27"/>
      <c r="AS116" s="27"/>
      <c r="AT116" s="27"/>
      <c r="AU116" s="27"/>
      <c r="AV116" s="27"/>
      <c r="AW116" s="27"/>
      <c r="AX116" s="27"/>
      <c r="AY116" s="27"/>
      <c r="AZ116" s="27"/>
      <c r="BA116" s="27"/>
      <c r="BB116" s="27"/>
      <c r="BC116" s="27"/>
      <c r="BD116" s="27"/>
      <c r="BE116" s="27"/>
      <c r="BF116" s="27"/>
      <c r="BG116" s="27"/>
      <c r="BH116" s="27"/>
      <c r="BI116" s="27"/>
      <c r="BJ116" s="27"/>
      <c r="BK116" s="27"/>
      <c r="BL116" s="27"/>
      <c r="BM116" s="27"/>
      <c r="BN116" s="27"/>
      <c r="BO116" s="27"/>
      <c r="BP116" s="27"/>
      <c r="BQ116" s="27"/>
      <c r="BR116" s="27"/>
      <c r="BS116" s="27"/>
      <c r="BT116" s="27"/>
      <c r="BU116" s="27"/>
      <c r="BV116" s="27"/>
      <c r="BW116" s="27"/>
      <c r="BX116" s="27"/>
      <c r="BY116" s="27"/>
      <c r="BZ116" s="27"/>
      <c r="CA116" s="27"/>
      <c r="CB116" s="27"/>
      <c r="CC116" s="27"/>
      <c r="CL116" s="24"/>
      <c r="CM116" s="24"/>
      <c r="CN116" s="24"/>
      <c r="CO116" s="24"/>
      <c r="CP116" s="24"/>
      <c r="CQ116" s="24"/>
      <c r="CR116" s="24"/>
      <c r="CS116" s="24"/>
      <c r="CT116" s="24"/>
      <c r="CU116" s="24"/>
      <c r="CV116" s="24"/>
      <c r="CW116" s="24"/>
      <c r="CX116" s="24"/>
      <c r="CY116" s="24"/>
      <c r="CZ116" s="24"/>
      <c r="DA116" s="24"/>
      <c r="DB116" s="24"/>
      <c r="DC116" s="24"/>
      <c r="DD116" s="24"/>
      <c r="DE116" s="24"/>
      <c r="DF116" s="24"/>
    </row>
    <row r="117" spans="5:110" x14ac:dyDescent="0.3">
      <c r="E117" s="27"/>
      <c r="F117" s="27"/>
      <c r="G117" s="27"/>
      <c r="H117" s="27"/>
      <c r="I117" s="27"/>
      <c r="J117" s="27"/>
      <c r="K117" s="27"/>
      <c r="L117" s="27"/>
      <c r="M117" s="27"/>
      <c r="N117" s="27"/>
      <c r="O117" s="27"/>
      <c r="P117" s="27"/>
      <c r="Q117" s="27"/>
      <c r="R117" s="27"/>
      <c r="S117" s="27"/>
      <c r="T117" s="27"/>
      <c r="U117" s="27"/>
      <c r="V117" s="27"/>
      <c r="W117" s="27"/>
      <c r="X117" s="27"/>
      <c r="Y117" s="27"/>
      <c r="Z117" s="27"/>
      <c r="AA117" s="27"/>
      <c r="AB117" s="27"/>
      <c r="AC117" s="27"/>
      <c r="AD117" s="27"/>
      <c r="AE117" s="27"/>
      <c r="AF117" s="27"/>
      <c r="AG117" s="27"/>
      <c r="AH117" s="27"/>
      <c r="AI117" s="27"/>
      <c r="AJ117" s="27"/>
      <c r="AK117" s="27"/>
      <c r="AL117" s="27"/>
      <c r="AM117" s="27"/>
      <c r="AN117" s="27"/>
      <c r="AO117" s="27"/>
      <c r="AP117" s="27"/>
      <c r="AQ117" s="27"/>
      <c r="AR117" s="27"/>
      <c r="AS117" s="27"/>
      <c r="AT117" s="27"/>
      <c r="AU117" s="27"/>
      <c r="AV117" s="27"/>
      <c r="AW117" s="27"/>
      <c r="AX117" s="27"/>
      <c r="AY117" s="27"/>
      <c r="AZ117" s="27"/>
      <c r="BA117" s="27"/>
      <c r="BB117" s="27"/>
      <c r="BC117" s="27"/>
      <c r="BD117" s="27"/>
      <c r="BE117" s="27"/>
      <c r="BF117" s="27"/>
      <c r="BG117" s="27"/>
      <c r="BH117" s="27"/>
      <c r="BI117" s="27"/>
      <c r="BJ117" s="27"/>
      <c r="BK117" s="27"/>
      <c r="BL117" s="27"/>
      <c r="BM117" s="27"/>
      <c r="BN117" s="27"/>
      <c r="BO117" s="27"/>
      <c r="BP117" s="27"/>
      <c r="BQ117" s="27"/>
      <c r="BR117" s="27"/>
      <c r="BS117" s="27"/>
      <c r="BT117" s="27"/>
      <c r="BU117" s="27"/>
      <c r="BV117" s="27"/>
      <c r="BW117" s="27"/>
      <c r="BX117" s="27"/>
      <c r="BY117" s="27"/>
      <c r="BZ117" s="27"/>
      <c r="CA117" s="27"/>
      <c r="CB117" s="27"/>
      <c r="CC117" s="27"/>
      <c r="CL117" s="24"/>
      <c r="CM117" s="24"/>
      <c r="CN117" s="24"/>
      <c r="CO117" s="24"/>
      <c r="CP117" s="24"/>
      <c r="CQ117" s="24"/>
      <c r="CR117" s="24"/>
      <c r="CS117" s="24"/>
      <c r="CT117" s="24"/>
      <c r="CU117" s="24"/>
      <c r="CV117" s="24"/>
      <c r="CW117" s="24"/>
      <c r="CX117" s="24"/>
      <c r="CY117" s="24"/>
      <c r="CZ117" s="24"/>
      <c r="DA117" s="24"/>
      <c r="DB117" s="24"/>
      <c r="DC117" s="24"/>
      <c r="DD117" s="24"/>
      <c r="DE117" s="24"/>
      <c r="DF117" s="24"/>
    </row>
    <row r="118" spans="5:110" x14ac:dyDescent="0.3">
      <c r="E118" s="27"/>
      <c r="F118" s="27"/>
      <c r="G118" s="27"/>
      <c r="H118" s="27"/>
      <c r="I118" s="27"/>
      <c r="J118" s="27"/>
      <c r="K118" s="27"/>
      <c r="L118" s="27"/>
      <c r="M118" s="27"/>
      <c r="N118" s="27"/>
      <c r="O118" s="27"/>
      <c r="P118" s="27"/>
      <c r="Q118" s="27"/>
      <c r="R118" s="27"/>
      <c r="S118" s="27"/>
      <c r="T118" s="27"/>
      <c r="U118" s="27"/>
      <c r="V118" s="27"/>
      <c r="W118" s="27"/>
      <c r="X118" s="27"/>
      <c r="Y118" s="27"/>
      <c r="Z118" s="27"/>
      <c r="AA118" s="27"/>
      <c r="AB118" s="27"/>
      <c r="AC118" s="27"/>
      <c r="AD118" s="27"/>
      <c r="AE118" s="27"/>
      <c r="AF118" s="27"/>
      <c r="AG118" s="27"/>
      <c r="AH118" s="27"/>
      <c r="AI118" s="27"/>
      <c r="AJ118" s="27"/>
      <c r="AK118" s="27"/>
      <c r="AL118" s="27"/>
      <c r="AM118" s="27"/>
      <c r="AN118" s="27"/>
      <c r="AO118" s="27"/>
      <c r="AP118" s="27"/>
      <c r="AQ118" s="27"/>
      <c r="AR118" s="27"/>
      <c r="AS118" s="27"/>
      <c r="AT118" s="27"/>
      <c r="AU118" s="27"/>
      <c r="AV118" s="27"/>
      <c r="AW118" s="27"/>
      <c r="AX118" s="27"/>
      <c r="AY118" s="27"/>
      <c r="AZ118" s="27"/>
      <c r="BA118" s="27"/>
      <c r="BB118" s="27"/>
      <c r="BC118" s="27"/>
      <c r="BD118" s="27"/>
      <c r="BE118" s="27"/>
      <c r="BF118" s="27"/>
      <c r="BG118" s="27"/>
      <c r="BH118" s="27"/>
      <c r="BI118" s="27"/>
      <c r="BJ118" s="27"/>
      <c r="BK118" s="27"/>
      <c r="BL118" s="27"/>
      <c r="BM118" s="27"/>
      <c r="BN118" s="27"/>
      <c r="BO118" s="27"/>
      <c r="BP118" s="27"/>
      <c r="BQ118" s="27"/>
      <c r="BR118" s="27"/>
      <c r="BS118" s="27"/>
      <c r="BT118" s="27"/>
      <c r="BU118" s="27"/>
      <c r="BV118" s="27"/>
      <c r="BW118" s="27"/>
      <c r="BX118" s="27"/>
      <c r="BY118" s="27"/>
      <c r="BZ118" s="27"/>
      <c r="CA118" s="27"/>
      <c r="CB118" s="27"/>
      <c r="CC118" s="27"/>
      <c r="CL118" s="24"/>
      <c r="CM118" s="24"/>
      <c r="CN118" s="24"/>
      <c r="CO118" s="24"/>
      <c r="CP118" s="24"/>
      <c r="CQ118" s="24"/>
      <c r="CR118" s="24"/>
      <c r="CS118" s="24"/>
      <c r="CT118" s="24"/>
      <c r="CU118" s="24"/>
      <c r="CV118" s="24"/>
      <c r="CW118" s="24"/>
      <c r="CX118" s="24"/>
      <c r="CY118" s="24"/>
      <c r="CZ118" s="24"/>
      <c r="DA118" s="24"/>
      <c r="DB118" s="24"/>
      <c r="DC118" s="24"/>
      <c r="DD118" s="24"/>
      <c r="DE118" s="24"/>
      <c r="DF118" s="24"/>
    </row>
    <row r="119" spans="5:110" x14ac:dyDescent="0.3">
      <c r="E119" s="27"/>
      <c r="F119" s="27"/>
      <c r="G119" s="27"/>
      <c r="H119" s="27"/>
      <c r="I119" s="27"/>
      <c r="J119" s="27"/>
      <c r="K119" s="27"/>
      <c r="L119" s="27"/>
      <c r="M119" s="27"/>
      <c r="N119" s="27"/>
      <c r="O119" s="27"/>
      <c r="P119" s="27"/>
      <c r="Q119" s="27"/>
      <c r="R119" s="27"/>
      <c r="S119" s="27"/>
      <c r="T119" s="27"/>
      <c r="U119" s="27"/>
      <c r="V119" s="27"/>
      <c r="W119" s="27"/>
      <c r="X119" s="27"/>
      <c r="Y119" s="27"/>
      <c r="Z119" s="27"/>
      <c r="AA119" s="27"/>
      <c r="AB119" s="27"/>
      <c r="AC119" s="27"/>
      <c r="AD119" s="27"/>
      <c r="AE119" s="27"/>
      <c r="AF119" s="27"/>
      <c r="AG119" s="27"/>
      <c r="AH119" s="27"/>
      <c r="AI119" s="27"/>
      <c r="AJ119" s="27"/>
      <c r="AK119" s="27"/>
      <c r="AL119" s="27"/>
      <c r="AM119" s="27"/>
      <c r="AN119" s="27"/>
      <c r="AO119" s="27"/>
      <c r="AP119" s="27"/>
      <c r="AQ119" s="27"/>
      <c r="AR119" s="27"/>
      <c r="AS119" s="27"/>
      <c r="AT119" s="27"/>
      <c r="AU119" s="27"/>
      <c r="AV119" s="27"/>
      <c r="AW119" s="27"/>
      <c r="AX119" s="27"/>
      <c r="AY119" s="27"/>
      <c r="AZ119" s="27"/>
      <c r="BA119" s="27"/>
      <c r="BB119" s="27"/>
      <c r="BC119" s="27"/>
      <c r="BD119" s="27"/>
      <c r="BE119" s="27"/>
      <c r="BF119" s="27"/>
      <c r="BG119" s="27"/>
      <c r="BH119" s="27"/>
      <c r="BI119" s="27"/>
      <c r="BJ119" s="27"/>
      <c r="BK119" s="27"/>
      <c r="BL119" s="27"/>
      <c r="BM119" s="27"/>
      <c r="BN119" s="27"/>
      <c r="BO119" s="27"/>
      <c r="BP119" s="27"/>
      <c r="BQ119" s="27"/>
      <c r="BR119" s="27"/>
      <c r="BS119" s="27"/>
      <c r="BT119" s="27"/>
      <c r="BU119" s="27"/>
      <c r="BV119" s="27"/>
      <c r="BW119" s="27"/>
      <c r="BX119" s="27"/>
      <c r="BY119" s="27"/>
      <c r="BZ119" s="27"/>
      <c r="CA119" s="27"/>
      <c r="CB119" s="27"/>
      <c r="CC119" s="27"/>
      <c r="CL119" s="24"/>
      <c r="CM119" s="24"/>
      <c r="CN119" s="24"/>
      <c r="CO119" s="24"/>
      <c r="CP119" s="24"/>
      <c r="CQ119" s="24"/>
      <c r="CR119" s="24"/>
      <c r="CS119" s="24"/>
      <c r="CT119" s="24"/>
      <c r="CU119" s="24"/>
      <c r="CV119" s="24"/>
      <c r="CW119" s="24"/>
      <c r="CX119" s="24"/>
      <c r="CY119" s="24"/>
      <c r="CZ119" s="24"/>
      <c r="DA119" s="24"/>
      <c r="DB119" s="24"/>
      <c r="DC119" s="24"/>
      <c r="DD119" s="24"/>
      <c r="DE119" s="24"/>
      <c r="DF119" s="24"/>
    </row>
    <row r="120" spans="5:110" x14ac:dyDescent="0.3">
      <c r="E120" s="27"/>
      <c r="F120" s="27"/>
      <c r="G120" s="27"/>
      <c r="H120" s="27"/>
      <c r="I120" s="27"/>
      <c r="J120" s="27"/>
      <c r="K120" s="27"/>
      <c r="L120" s="27"/>
      <c r="M120" s="27"/>
      <c r="N120" s="27"/>
      <c r="O120" s="27"/>
      <c r="P120" s="27"/>
      <c r="Q120" s="27"/>
      <c r="R120" s="27"/>
      <c r="S120" s="27"/>
      <c r="T120" s="27"/>
      <c r="U120" s="27"/>
      <c r="V120" s="27"/>
      <c r="W120" s="27"/>
      <c r="X120" s="27"/>
      <c r="Y120" s="27"/>
      <c r="Z120" s="27"/>
      <c r="AA120" s="27"/>
      <c r="AB120" s="27"/>
      <c r="AC120" s="27"/>
      <c r="AD120" s="27"/>
      <c r="AE120" s="27"/>
      <c r="AF120" s="27"/>
      <c r="AG120" s="27"/>
      <c r="AH120" s="27"/>
      <c r="AI120" s="27"/>
      <c r="AJ120" s="27"/>
      <c r="AK120" s="27"/>
      <c r="AL120" s="27"/>
      <c r="AM120" s="27"/>
      <c r="AN120" s="27"/>
      <c r="AO120" s="27"/>
      <c r="AP120" s="27"/>
      <c r="AQ120" s="27"/>
      <c r="AR120" s="27"/>
      <c r="AS120" s="27"/>
      <c r="AT120" s="27"/>
      <c r="AU120" s="27"/>
      <c r="AV120" s="27"/>
      <c r="AW120" s="27"/>
      <c r="AX120" s="27"/>
      <c r="AY120" s="27"/>
      <c r="AZ120" s="27"/>
      <c r="BA120" s="27"/>
      <c r="BB120" s="27"/>
      <c r="BC120" s="27"/>
      <c r="BD120" s="27"/>
      <c r="BE120" s="27"/>
      <c r="BF120" s="27"/>
      <c r="BG120" s="27"/>
      <c r="BH120" s="27"/>
      <c r="BI120" s="27"/>
      <c r="BJ120" s="27"/>
      <c r="BK120" s="27"/>
      <c r="BL120" s="27"/>
      <c r="BM120" s="27"/>
      <c r="BN120" s="27"/>
      <c r="BO120" s="27"/>
      <c r="BP120" s="27"/>
      <c r="BQ120" s="27"/>
      <c r="BR120" s="27"/>
      <c r="BS120" s="27"/>
      <c r="BT120" s="27"/>
      <c r="BU120" s="27"/>
      <c r="BV120" s="27"/>
      <c r="BW120" s="27"/>
      <c r="BX120" s="27"/>
      <c r="BY120" s="27"/>
      <c r="BZ120" s="27"/>
      <c r="CA120" s="27"/>
      <c r="CB120" s="27"/>
      <c r="CC120" s="27"/>
      <c r="CL120" s="24"/>
      <c r="CM120" s="24"/>
      <c r="CN120" s="24"/>
      <c r="CO120" s="24"/>
      <c r="CP120" s="24"/>
      <c r="CQ120" s="24"/>
      <c r="CR120" s="24"/>
      <c r="CS120" s="24"/>
      <c r="CT120" s="24"/>
      <c r="CU120" s="24"/>
      <c r="CV120" s="24"/>
      <c r="CW120" s="24"/>
      <c r="CX120" s="24"/>
      <c r="CY120" s="24"/>
      <c r="CZ120" s="24"/>
      <c r="DA120" s="24"/>
      <c r="DB120" s="24"/>
      <c r="DC120" s="24"/>
      <c r="DD120" s="24"/>
      <c r="DE120" s="24"/>
      <c r="DF120" s="24"/>
    </row>
    <row r="121" spans="5:110" x14ac:dyDescent="0.3">
      <c r="E121" s="27"/>
      <c r="F121" s="27"/>
      <c r="G121" s="27"/>
      <c r="H121" s="27"/>
      <c r="I121" s="27"/>
      <c r="J121" s="27"/>
      <c r="K121" s="27"/>
      <c r="L121" s="27"/>
      <c r="M121" s="27"/>
      <c r="N121" s="27"/>
      <c r="O121" s="27"/>
      <c r="P121" s="27"/>
      <c r="Q121" s="27"/>
      <c r="R121" s="27"/>
      <c r="S121" s="27"/>
      <c r="T121" s="27"/>
      <c r="U121" s="27"/>
      <c r="V121" s="27"/>
      <c r="W121" s="27"/>
      <c r="X121" s="27"/>
      <c r="Y121" s="27"/>
      <c r="Z121" s="27"/>
      <c r="AA121" s="27"/>
      <c r="AB121" s="27"/>
      <c r="AC121" s="27"/>
      <c r="AD121" s="27"/>
      <c r="AE121" s="27"/>
      <c r="AF121" s="27"/>
      <c r="AG121" s="27"/>
      <c r="AH121" s="27"/>
      <c r="AI121" s="27"/>
      <c r="AJ121" s="27"/>
      <c r="AK121" s="27"/>
      <c r="AL121" s="27"/>
      <c r="AM121" s="27"/>
      <c r="AN121" s="27"/>
      <c r="AO121" s="27"/>
      <c r="AP121" s="27"/>
      <c r="AQ121" s="27"/>
      <c r="AR121" s="27"/>
      <c r="AS121" s="27"/>
      <c r="AT121" s="27"/>
      <c r="AU121" s="27"/>
      <c r="AV121" s="27"/>
      <c r="AW121" s="27"/>
      <c r="AX121" s="27"/>
      <c r="AY121" s="27"/>
      <c r="AZ121" s="27"/>
      <c r="BA121" s="27"/>
      <c r="BB121" s="27"/>
      <c r="BC121" s="27"/>
      <c r="BD121" s="27"/>
      <c r="BE121" s="27"/>
      <c r="BF121" s="27"/>
      <c r="BG121" s="27"/>
      <c r="BH121" s="27"/>
      <c r="BI121" s="27"/>
      <c r="BJ121" s="27"/>
      <c r="BK121" s="27"/>
      <c r="BL121" s="27"/>
      <c r="BM121" s="27"/>
      <c r="BN121" s="27"/>
      <c r="BO121" s="27"/>
      <c r="BP121" s="27"/>
      <c r="BQ121" s="27"/>
      <c r="BR121" s="27"/>
      <c r="BS121" s="27"/>
      <c r="BT121" s="27"/>
      <c r="BU121" s="27"/>
      <c r="BV121" s="27"/>
      <c r="BW121" s="27"/>
      <c r="BX121" s="27"/>
      <c r="BY121" s="27"/>
      <c r="BZ121" s="27"/>
      <c r="CA121" s="27"/>
      <c r="CB121" s="27"/>
      <c r="CC121" s="27"/>
      <c r="CL121" s="24"/>
      <c r="CM121" s="24"/>
      <c r="CN121" s="24"/>
      <c r="CO121" s="24"/>
      <c r="CP121" s="24"/>
      <c r="CQ121" s="24"/>
      <c r="CR121" s="24"/>
      <c r="CS121" s="24"/>
      <c r="CT121" s="24"/>
      <c r="CU121" s="24"/>
      <c r="CV121" s="24"/>
      <c r="CW121" s="24"/>
      <c r="CX121" s="24"/>
      <c r="CY121" s="24"/>
      <c r="CZ121" s="24"/>
      <c r="DA121" s="24"/>
      <c r="DB121" s="24"/>
      <c r="DC121" s="24"/>
      <c r="DD121" s="24"/>
      <c r="DE121" s="24"/>
      <c r="DF121" s="24"/>
    </row>
    <row r="122" spans="5:110" x14ac:dyDescent="0.3">
      <c r="E122" s="27"/>
      <c r="F122" s="27"/>
      <c r="G122" s="27"/>
      <c r="H122" s="27"/>
      <c r="I122" s="27"/>
      <c r="J122" s="27"/>
      <c r="K122" s="27"/>
      <c r="L122" s="27"/>
      <c r="M122" s="27"/>
      <c r="N122" s="27"/>
      <c r="O122" s="27"/>
      <c r="P122" s="27"/>
      <c r="Q122" s="27"/>
      <c r="R122" s="27"/>
      <c r="S122" s="27"/>
      <c r="T122" s="27"/>
      <c r="U122" s="27"/>
      <c r="V122" s="27"/>
      <c r="W122" s="27"/>
      <c r="X122" s="27"/>
      <c r="Y122" s="27"/>
      <c r="Z122" s="27"/>
      <c r="AA122" s="27"/>
      <c r="AB122" s="27"/>
      <c r="AC122" s="27"/>
      <c r="AD122" s="27"/>
      <c r="AE122" s="27"/>
      <c r="AF122" s="27"/>
      <c r="AG122" s="27"/>
      <c r="AH122" s="27"/>
      <c r="AI122" s="27"/>
      <c r="AJ122" s="27"/>
      <c r="AK122" s="27"/>
      <c r="AL122" s="27"/>
      <c r="AM122" s="27"/>
      <c r="AN122" s="27"/>
      <c r="AO122" s="27"/>
      <c r="AP122" s="27"/>
      <c r="AQ122" s="27"/>
      <c r="AR122" s="27"/>
      <c r="AS122" s="27"/>
      <c r="AT122" s="27"/>
      <c r="AU122" s="27"/>
      <c r="AV122" s="27"/>
      <c r="AW122" s="27"/>
      <c r="AX122" s="27"/>
      <c r="AY122" s="27"/>
      <c r="AZ122" s="27"/>
      <c r="BA122" s="27"/>
      <c r="BB122" s="27"/>
      <c r="BC122" s="27"/>
      <c r="BD122" s="27"/>
      <c r="BE122" s="27"/>
      <c r="BF122" s="27"/>
      <c r="BG122" s="27"/>
      <c r="BH122" s="27"/>
      <c r="BI122" s="27"/>
      <c r="BJ122" s="27"/>
      <c r="BK122" s="27"/>
      <c r="BL122" s="27"/>
      <c r="BM122" s="27"/>
      <c r="BN122" s="27"/>
      <c r="BO122" s="27"/>
      <c r="BP122" s="27"/>
      <c r="BQ122" s="27"/>
      <c r="BR122" s="27"/>
      <c r="BS122" s="27"/>
      <c r="BT122" s="27"/>
      <c r="BU122" s="27"/>
      <c r="BV122" s="27"/>
      <c r="BW122" s="27"/>
      <c r="BX122" s="27"/>
      <c r="BY122" s="27"/>
      <c r="BZ122" s="27"/>
      <c r="CA122" s="27"/>
      <c r="CB122" s="27"/>
      <c r="CC122" s="27"/>
      <c r="CL122" s="24"/>
      <c r="CM122" s="24"/>
      <c r="CN122" s="24"/>
      <c r="CO122" s="24"/>
      <c r="CP122" s="24"/>
      <c r="CQ122" s="24"/>
      <c r="CR122" s="24"/>
      <c r="CS122" s="24"/>
      <c r="CT122" s="24"/>
      <c r="CU122" s="24"/>
      <c r="CV122" s="24"/>
      <c r="CW122" s="24"/>
      <c r="CX122" s="24"/>
      <c r="CY122" s="24"/>
      <c r="CZ122" s="24"/>
      <c r="DA122" s="24"/>
      <c r="DB122" s="24"/>
      <c r="DC122" s="24"/>
      <c r="DD122" s="24"/>
      <c r="DE122" s="24"/>
      <c r="DF122" s="24"/>
    </row>
    <row r="123" spans="5:110" x14ac:dyDescent="0.3">
      <c r="E123" s="27"/>
      <c r="F123" s="27"/>
      <c r="G123" s="27"/>
      <c r="H123" s="27"/>
      <c r="I123" s="27"/>
      <c r="J123" s="27"/>
      <c r="K123" s="27"/>
      <c r="L123" s="27"/>
      <c r="M123" s="27"/>
      <c r="N123" s="27"/>
      <c r="O123" s="27"/>
      <c r="P123" s="27"/>
      <c r="Q123" s="27"/>
      <c r="R123" s="27"/>
      <c r="S123" s="27"/>
      <c r="T123" s="27"/>
      <c r="U123" s="27"/>
      <c r="V123" s="27"/>
      <c r="W123" s="27"/>
      <c r="X123" s="27"/>
      <c r="Y123" s="27"/>
      <c r="Z123" s="27"/>
      <c r="AA123" s="27"/>
      <c r="AB123" s="27"/>
      <c r="AC123" s="27"/>
      <c r="AD123" s="27"/>
      <c r="AE123" s="27"/>
      <c r="AF123" s="27"/>
      <c r="AG123" s="27"/>
      <c r="AH123" s="27"/>
      <c r="AI123" s="27"/>
      <c r="AJ123" s="27"/>
      <c r="AK123" s="27"/>
      <c r="AL123" s="27"/>
      <c r="AM123" s="27"/>
      <c r="AN123" s="27"/>
      <c r="AO123" s="27"/>
      <c r="AP123" s="27"/>
      <c r="AQ123" s="27"/>
      <c r="AR123" s="27"/>
      <c r="AS123" s="27"/>
      <c r="AT123" s="27"/>
      <c r="AU123" s="27"/>
      <c r="AV123" s="27"/>
      <c r="AW123" s="27"/>
      <c r="AX123" s="27"/>
      <c r="AY123" s="27"/>
      <c r="AZ123" s="27"/>
      <c r="BA123" s="27"/>
      <c r="BB123" s="27"/>
      <c r="BC123" s="27"/>
      <c r="BD123" s="27"/>
      <c r="BE123" s="27"/>
      <c r="BF123" s="27"/>
      <c r="BG123" s="27"/>
      <c r="BH123" s="27"/>
      <c r="BI123" s="27"/>
      <c r="BJ123" s="27"/>
      <c r="BK123" s="27"/>
      <c r="BL123" s="27"/>
      <c r="BM123" s="27"/>
      <c r="BN123" s="27"/>
      <c r="BO123" s="27"/>
      <c r="BP123" s="27"/>
      <c r="BQ123" s="27"/>
      <c r="BR123" s="27"/>
      <c r="BS123" s="27"/>
      <c r="BT123" s="27"/>
      <c r="BU123" s="27"/>
      <c r="BV123" s="27"/>
      <c r="BW123" s="27"/>
      <c r="BX123" s="27"/>
      <c r="BY123" s="27"/>
      <c r="BZ123" s="27"/>
      <c r="CA123" s="27"/>
      <c r="CB123" s="27"/>
      <c r="CC123" s="27"/>
      <c r="CL123" s="24"/>
      <c r="CM123" s="24"/>
      <c r="CN123" s="24"/>
      <c r="CO123" s="24"/>
      <c r="CP123" s="24"/>
      <c r="CQ123" s="24"/>
      <c r="CR123" s="24"/>
      <c r="CS123" s="24"/>
      <c r="CT123" s="24"/>
      <c r="CU123" s="24"/>
      <c r="CV123" s="24"/>
      <c r="CW123" s="24"/>
      <c r="CX123" s="24"/>
      <c r="CY123" s="24"/>
      <c r="CZ123" s="24"/>
      <c r="DA123" s="24"/>
      <c r="DB123" s="24"/>
      <c r="DC123" s="24"/>
      <c r="DD123" s="24"/>
      <c r="DE123" s="24"/>
      <c r="DF123" s="24"/>
    </row>
    <row r="124" spans="5:110" x14ac:dyDescent="0.3">
      <c r="E124" s="27"/>
      <c r="F124" s="27"/>
      <c r="G124" s="27"/>
      <c r="H124" s="27"/>
      <c r="I124" s="27"/>
      <c r="J124" s="27"/>
      <c r="K124" s="27"/>
      <c r="L124" s="27"/>
      <c r="M124" s="27"/>
      <c r="N124" s="27"/>
      <c r="O124" s="27"/>
      <c r="P124" s="27"/>
      <c r="Q124" s="27"/>
      <c r="R124" s="27"/>
      <c r="S124" s="27"/>
      <c r="T124" s="27"/>
      <c r="U124" s="27"/>
      <c r="V124" s="27"/>
      <c r="W124" s="27"/>
      <c r="X124" s="27"/>
      <c r="Y124" s="27"/>
      <c r="Z124" s="27"/>
      <c r="AA124" s="27"/>
      <c r="AB124" s="27"/>
      <c r="AC124" s="27"/>
      <c r="AD124" s="27"/>
      <c r="AE124" s="27"/>
      <c r="AF124" s="27"/>
      <c r="AG124" s="27"/>
      <c r="AH124" s="27"/>
      <c r="AI124" s="27"/>
      <c r="AJ124" s="27"/>
      <c r="AK124" s="27"/>
      <c r="AL124" s="27"/>
      <c r="AM124" s="27"/>
      <c r="AN124" s="27"/>
      <c r="AO124" s="27"/>
      <c r="AP124" s="27"/>
      <c r="AQ124" s="27"/>
      <c r="AR124" s="27"/>
      <c r="AS124" s="27"/>
      <c r="AT124" s="27"/>
      <c r="AU124" s="27"/>
      <c r="AV124" s="27"/>
      <c r="AW124" s="27"/>
      <c r="AX124" s="27"/>
      <c r="AY124" s="27"/>
      <c r="AZ124" s="27"/>
      <c r="BA124" s="27"/>
      <c r="BB124" s="27"/>
      <c r="BC124" s="27"/>
      <c r="BD124" s="27"/>
      <c r="BE124" s="27"/>
      <c r="BF124" s="27"/>
      <c r="BG124" s="27"/>
      <c r="BH124" s="27"/>
      <c r="BI124" s="27"/>
      <c r="BJ124" s="27"/>
      <c r="BK124" s="27"/>
      <c r="BL124" s="27"/>
      <c r="BM124" s="27"/>
      <c r="BN124" s="27"/>
      <c r="BO124" s="27"/>
      <c r="BP124" s="27"/>
      <c r="BQ124" s="27"/>
      <c r="BR124" s="27"/>
      <c r="BS124" s="27"/>
      <c r="BT124" s="27"/>
      <c r="BU124" s="27"/>
      <c r="BV124" s="27"/>
      <c r="BW124" s="27"/>
      <c r="BX124" s="27"/>
      <c r="BY124" s="27"/>
      <c r="BZ124" s="27"/>
      <c r="CA124" s="27"/>
      <c r="CB124" s="27"/>
      <c r="CC124" s="27"/>
      <c r="CL124" s="24"/>
      <c r="CM124" s="24"/>
      <c r="CN124" s="24"/>
      <c r="CO124" s="24"/>
      <c r="CP124" s="24"/>
      <c r="CQ124" s="24"/>
      <c r="CR124" s="24"/>
      <c r="CS124" s="24"/>
      <c r="CT124" s="24"/>
      <c r="CU124" s="24"/>
      <c r="CV124" s="24"/>
      <c r="CW124" s="24"/>
      <c r="CX124" s="24"/>
      <c r="CY124" s="24"/>
      <c r="CZ124" s="24"/>
      <c r="DA124" s="24"/>
      <c r="DB124" s="24"/>
      <c r="DC124" s="24"/>
      <c r="DD124" s="24"/>
      <c r="DE124" s="24"/>
      <c r="DF124" s="24"/>
    </row>
    <row r="125" spans="5:110" x14ac:dyDescent="0.3">
      <c r="E125" s="27"/>
      <c r="F125" s="27"/>
      <c r="G125" s="27"/>
      <c r="H125" s="27"/>
      <c r="I125" s="27"/>
      <c r="J125" s="27"/>
      <c r="K125" s="27"/>
      <c r="L125" s="27"/>
      <c r="M125" s="27"/>
      <c r="N125" s="27"/>
      <c r="O125" s="27"/>
      <c r="P125" s="27"/>
      <c r="Q125" s="27"/>
      <c r="R125" s="27"/>
      <c r="S125" s="27"/>
      <c r="T125" s="27"/>
      <c r="U125" s="27"/>
      <c r="V125" s="27"/>
      <c r="W125" s="27"/>
      <c r="X125" s="27"/>
      <c r="Y125" s="27"/>
      <c r="Z125" s="27"/>
      <c r="AA125" s="27"/>
      <c r="AB125" s="27"/>
      <c r="AC125" s="27"/>
      <c r="AD125" s="27"/>
      <c r="AE125" s="27"/>
      <c r="AF125" s="27"/>
      <c r="AG125" s="27"/>
      <c r="AH125" s="27"/>
      <c r="AI125" s="27"/>
      <c r="AJ125" s="27"/>
      <c r="AK125" s="27"/>
      <c r="AL125" s="27"/>
      <c r="AM125" s="27"/>
      <c r="AN125" s="27"/>
      <c r="AO125" s="27"/>
      <c r="AP125" s="27"/>
      <c r="AQ125" s="27"/>
      <c r="AR125" s="27"/>
      <c r="AS125" s="27"/>
      <c r="AT125" s="27"/>
      <c r="AU125" s="27"/>
      <c r="AV125" s="27"/>
      <c r="AW125" s="27"/>
      <c r="AX125" s="27"/>
      <c r="AY125" s="27"/>
      <c r="AZ125" s="27"/>
      <c r="BA125" s="27"/>
      <c r="BB125" s="27"/>
      <c r="BC125" s="27"/>
      <c r="BD125" s="27"/>
      <c r="BE125" s="27"/>
      <c r="BF125" s="27"/>
      <c r="BG125" s="27"/>
      <c r="BH125" s="27"/>
      <c r="BI125" s="27"/>
      <c r="BJ125" s="27"/>
      <c r="BK125" s="27"/>
      <c r="BL125" s="27"/>
      <c r="BM125" s="27"/>
      <c r="BN125" s="27"/>
      <c r="BO125" s="27"/>
      <c r="BP125" s="27"/>
      <c r="BQ125" s="27"/>
      <c r="BR125" s="27"/>
      <c r="BS125" s="27"/>
      <c r="BT125" s="27"/>
      <c r="BU125" s="27"/>
      <c r="BV125" s="27"/>
      <c r="BW125" s="27"/>
      <c r="BX125" s="27"/>
      <c r="BY125" s="27"/>
      <c r="BZ125" s="27"/>
      <c r="CA125" s="27"/>
      <c r="CB125" s="27"/>
      <c r="CC125" s="27"/>
      <c r="CL125" s="24"/>
      <c r="CM125" s="24"/>
      <c r="CN125" s="24"/>
      <c r="CO125" s="24"/>
      <c r="CP125" s="24"/>
      <c r="CQ125" s="24"/>
      <c r="CR125" s="24"/>
      <c r="CS125" s="24"/>
      <c r="CT125" s="24"/>
      <c r="CU125" s="24"/>
      <c r="CV125" s="24"/>
      <c r="CW125" s="24"/>
      <c r="CX125" s="24"/>
      <c r="CY125" s="24"/>
      <c r="CZ125" s="24"/>
      <c r="DA125" s="24"/>
      <c r="DB125" s="24"/>
      <c r="DC125" s="24"/>
      <c r="DD125" s="24"/>
      <c r="DE125" s="24"/>
      <c r="DF125" s="24"/>
    </row>
    <row r="126" spans="5:110" x14ac:dyDescent="0.3">
      <c r="E126" s="27"/>
      <c r="F126" s="27"/>
      <c r="G126" s="27"/>
      <c r="H126" s="27"/>
      <c r="I126" s="27"/>
      <c r="J126" s="27"/>
      <c r="K126" s="27"/>
      <c r="L126" s="27"/>
      <c r="M126" s="27"/>
      <c r="N126" s="27"/>
      <c r="O126" s="27"/>
      <c r="P126" s="27"/>
      <c r="Q126" s="27"/>
      <c r="R126" s="27"/>
      <c r="S126" s="27"/>
      <c r="T126" s="27"/>
      <c r="U126" s="27"/>
      <c r="V126" s="27"/>
      <c r="W126" s="27"/>
      <c r="X126" s="27"/>
      <c r="Y126" s="27"/>
      <c r="Z126" s="27"/>
      <c r="AA126" s="27"/>
      <c r="AB126" s="27"/>
      <c r="AC126" s="27"/>
      <c r="AD126" s="27"/>
      <c r="AE126" s="27"/>
      <c r="AF126" s="27"/>
      <c r="AG126" s="27"/>
      <c r="AH126" s="27"/>
      <c r="AI126" s="27"/>
      <c r="AJ126" s="27"/>
      <c r="AK126" s="27"/>
      <c r="AL126" s="27"/>
      <c r="AM126" s="27"/>
      <c r="AN126" s="27"/>
      <c r="AO126" s="27"/>
      <c r="AP126" s="27"/>
      <c r="AQ126" s="27"/>
      <c r="AR126" s="27"/>
      <c r="AS126" s="27"/>
      <c r="AT126" s="27"/>
      <c r="AU126" s="27"/>
      <c r="AV126" s="27"/>
      <c r="AW126" s="27"/>
      <c r="AX126" s="27"/>
      <c r="AY126" s="27"/>
      <c r="AZ126" s="27"/>
      <c r="BA126" s="27"/>
      <c r="BB126" s="27"/>
      <c r="BC126" s="27"/>
      <c r="BD126" s="27"/>
      <c r="BE126" s="27"/>
      <c r="BF126" s="27"/>
      <c r="BG126" s="27"/>
      <c r="BH126" s="27"/>
      <c r="BI126" s="27"/>
      <c r="BJ126" s="27"/>
      <c r="BK126" s="27"/>
      <c r="BL126" s="27"/>
      <c r="BM126" s="27"/>
      <c r="BN126" s="27"/>
      <c r="BO126" s="27"/>
      <c r="BP126" s="27"/>
      <c r="BQ126" s="27"/>
      <c r="BR126" s="27"/>
      <c r="BS126" s="27"/>
      <c r="BT126" s="27"/>
      <c r="BU126" s="27"/>
      <c r="BV126" s="27"/>
      <c r="BW126" s="27"/>
      <c r="BX126" s="27"/>
      <c r="BY126" s="27"/>
      <c r="BZ126" s="27"/>
      <c r="CA126" s="27"/>
      <c r="CB126" s="27"/>
      <c r="CC126" s="27"/>
      <c r="CL126" s="24"/>
      <c r="CM126" s="24"/>
      <c r="CN126" s="24"/>
      <c r="CO126" s="24"/>
      <c r="CP126" s="24"/>
      <c r="CQ126" s="24"/>
      <c r="CR126" s="24"/>
      <c r="CS126" s="24"/>
      <c r="CT126" s="24"/>
      <c r="CU126" s="24"/>
      <c r="CV126" s="24"/>
      <c r="CW126" s="24"/>
      <c r="CX126" s="24"/>
      <c r="CY126" s="24"/>
      <c r="CZ126" s="24"/>
      <c r="DA126" s="24"/>
      <c r="DB126" s="24"/>
      <c r="DC126" s="24"/>
      <c r="DD126" s="24"/>
      <c r="DE126" s="24"/>
      <c r="DF126" s="24"/>
    </row>
    <row r="127" spans="5:110" x14ac:dyDescent="0.3">
      <c r="E127" s="27"/>
      <c r="F127" s="27"/>
      <c r="G127" s="27"/>
      <c r="H127" s="27"/>
      <c r="I127" s="27"/>
      <c r="J127" s="27"/>
      <c r="K127" s="27"/>
      <c r="L127" s="27"/>
      <c r="M127" s="27"/>
      <c r="N127" s="27"/>
      <c r="O127" s="27"/>
      <c r="P127" s="27"/>
      <c r="Q127" s="27"/>
      <c r="R127" s="27"/>
      <c r="S127" s="27"/>
      <c r="T127" s="27"/>
      <c r="U127" s="27"/>
      <c r="V127" s="27"/>
      <c r="W127" s="27"/>
      <c r="X127" s="27"/>
      <c r="Y127" s="27"/>
      <c r="Z127" s="27"/>
      <c r="AA127" s="27"/>
      <c r="AB127" s="27"/>
      <c r="AC127" s="27"/>
      <c r="AD127" s="27"/>
      <c r="AE127" s="27"/>
      <c r="AF127" s="27"/>
      <c r="AG127" s="27"/>
      <c r="AH127" s="27"/>
      <c r="AI127" s="27"/>
      <c r="AJ127" s="27"/>
      <c r="AK127" s="27"/>
      <c r="AL127" s="27"/>
      <c r="AM127" s="27"/>
      <c r="AN127" s="27"/>
      <c r="AO127" s="27"/>
      <c r="AP127" s="27"/>
      <c r="AQ127" s="27"/>
      <c r="AR127" s="27"/>
      <c r="AS127" s="27"/>
      <c r="AT127" s="27"/>
      <c r="AU127" s="27"/>
      <c r="AV127" s="27"/>
      <c r="AW127" s="27"/>
      <c r="AX127" s="27"/>
      <c r="AY127" s="27"/>
      <c r="AZ127" s="27"/>
      <c r="BA127" s="27"/>
      <c r="BB127" s="27"/>
      <c r="BC127" s="27"/>
      <c r="BD127" s="27"/>
      <c r="BE127" s="27"/>
      <c r="BF127" s="27"/>
      <c r="BG127" s="27"/>
      <c r="BH127" s="27"/>
      <c r="BI127" s="27"/>
      <c r="BJ127" s="27"/>
      <c r="BK127" s="27"/>
      <c r="BL127" s="27"/>
      <c r="BM127" s="27"/>
      <c r="BN127" s="27"/>
      <c r="BO127" s="27"/>
      <c r="BP127" s="27"/>
      <c r="BQ127" s="27"/>
      <c r="BR127" s="27"/>
      <c r="BS127" s="27"/>
      <c r="BT127" s="27"/>
      <c r="BU127" s="27"/>
      <c r="BV127" s="27"/>
      <c r="BW127" s="27"/>
      <c r="BX127" s="27"/>
      <c r="BY127" s="27"/>
      <c r="BZ127" s="27"/>
      <c r="CA127" s="27"/>
      <c r="CB127" s="27"/>
      <c r="CC127" s="27"/>
      <c r="CL127" s="24"/>
      <c r="CM127" s="24"/>
      <c r="CN127" s="24"/>
      <c r="CO127" s="24"/>
      <c r="CP127" s="24"/>
      <c r="CQ127" s="24"/>
      <c r="CR127" s="24"/>
      <c r="CS127" s="24"/>
      <c r="CT127" s="24"/>
      <c r="CU127" s="24"/>
      <c r="CV127" s="24"/>
      <c r="CW127" s="24"/>
      <c r="CX127" s="24"/>
      <c r="CY127" s="24"/>
      <c r="CZ127" s="24"/>
      <c r="DA127" s="24"/>
      <c r="DB127" s="24"/>
      <c r="DC127" s="24"/>
      <c r="DD127" s="24"/>
      <c r="DE127" s="24"/>
      <c r="DF127" s="24"/>
    </row>
    <row r="128" spans="5:110" x14ac:dyDescent="0.3">
      <c r="E128" s="27"/>
      <c r="F128" s="27"/>
      <c r="G128" s="27"/>
      <c r="H128" s="27"/>
      <c r="I128" s="27"/>
      <c r="J128" s="27"/>
      <c r="K128" s="27"/>
      <c r="L128" s="27"/>
      <c r="M128" s="27"/>
      <c r="N128" s="27"/>
      <c r="O128" s="27"/>
      <c r="P128" s="27"/>
      <c r="Q128" s="27"/>
      <c r="R128" s="27"/>
      <c r="S128" s="27"/>
      <c r="T128" s="27"/>
      <c r="U128" s="27"/>
      <c r="V128" s="27"/>
      <c r="W128" s="27"/>
      <c r="X128" s="27"/>
      <c r="Y128" s="27"/>
      <c r="Z128" s="27"/>
      <c r="AA128" s="27"/>
      <c r="AB128" s="27"/>
      <c r="AC128" s="27"/>
      <c r="AD128" s="27"/>
      <c r="AE128" s="27"/>
      <c r="AF128" s="27"/>
      <c r="AG128" s="27"/>
      <c r="AH128" s="27"/>
      <c r="AI128" s="27"/>
      <c r="AJ128" s="27"/>
      <c r="AK128" s="27"/>
      <c r="AL128" s="27"/>
      <c r="AM128" s="27"/>
      <c r="AN128" s="27"/>
      <c r="AO128" s="27"/>
      <c r="AP128" s="27"/>
      <c r="AQ128" s="27"/>
      <c r="AR128" s="27"/>
      <c r="AS128" s="27"/>
      <c r="AT128" s="27"/>
      <c r="AU128" s="27"/>
      <c r="AV128" s="27"/>
      <c r="AW128" s="27"/>
      <c r="AX128" s="27"/>
      <c r="AY128" s="27"/>
      <c r="AZ128" s="27"/>
      <c r="BA128" s="27"/>
      <c r="BB128" s="27"/>
      <c r="BC128" s="27"/>
      <c r="BD128" s="27"/>
      <c r="BE128" s="27"/>
      <c r="BF128" s="27"/>
      <c r="BG128" s="27"/>
      <c r="BH128" s="27"/>
      <c r="BI128" s="27"/>
      <c r="BJ128" s="27"/>
      <c r="BK128" s="27"/>
      <c r="BL128" s="27"/>
      <c r="BM128" s="27"/>
      <c r="BN128" s="27"/>
      <c r="BO128" s="27"/>
      <c r="BP128" s="27"/>
      <c r="BQ128" s="27"/>
      <c r="BR128" s="27"/>
      <c r="BS128" s="27"/>
      <c r="BT128" s="27"/>
      <c r="BU128" s="27"/>
      <c r="BV128" s="27"/>
      <c r="BW128" s="27"/>
      <c r="BX128" s="27"/>
      <c r="BY128" s="27"/>
      <c r="BZ128" s="27"/>
      <c r="CA128" s="27"/>
      <c r="CB128" s="27"/>
      <c r="CC128" s="27"/>
      <c r="CL128" s="24"/>
      <c r="CM128" s="24"/>
      <c r="CN128" s="24"/>
      <c r="CO128" s="24"/>
      <c r="CP128" s="24"/>
      <c r="CQ128" s="24"/>
      <c r="CR128" s="24"/>
      <c r="CS128" s="24"/>
      <c r="CT128" s="24"/>
      <c r="CU128" s="24"/>
      <c r="CV128" s="24"/>
      <c r="CW128" s="24"/>
      <c r="CX128" s="24"/>
      <c r="CY128" s="24"/>
      <c r="CZ128" s="24"/>
      <c r="DA128" s="24"/>
      <c r="DB128" s="24"/>
      <c r="DC128" s="24"/>
      <c r="DD128" s="24"/>
      <c r="DE128" s="24"/>
      <c r="DF128" s="24"/>
    </row>
    <row r="129" spans="5:162" x14ac:dyDescent="0.3">
      <c r="E129" s="27"/>
      <c r="F129" s="27"/>
      <c r="G129" s="27"/>
      <c r="H129" s="27"/>
      <c r="I129" s="27"/>
      <c r="J129" s="27"/>
      <c r="K129" s="27"/>
      <c r="L129" s="27"/>
      <c r="M129" s="27"/>
      <c r="N129" s="27"/>
      <c r="O129" s="27"/>
      <c r="P129" s="27"/>
      <c r="Q129" s="27"/>
      <c r="R129" s="27"/>
      <c r="S129" s="27"/>
      <c r="T129" s="27"/>
      <c r="U129" s="27"/>
      <c r="V129" s="27"/>
      <c r="W129" s="27"/>
      <c r="X129" s="27"/>
      <c r="Y129" s="27"/>
      <c r="Z129" s="27"/>
      <c r="AA129" s="27"/>
      <c r="AB129" s="27"/>
      <c r="AC129" s="27"/>
      <c r="AD129" s="27"/>
      <c r="AE129" s="27"/>
      <c r="AF129" s="27"/>
      <c r="AG129" s="27"/>
      <c r="AH129" s="27"/>
      <c r="AI129" s="27"/>
      <c r="AJ129" s="27"/>
      <c r="AK129" s="27"/>
      <c r="AL129" s="27"/>
      <c r="AM129" s="27"/>
      <c r="AN129" s="27"/>
      <c r="AO129" s="27"/>
      <c r="AP129" s="27"/>
      <c r="AQ129" s="27"/>
      <c r="AR129" s="27"/>
      <c r="AS129" s="27"/>
      <c r="AT129" s="27"/>
      <c r="AU129" s="27"/>
      <c r="AV129" s="27"/>
      <c r="AW129" s="27"/>
      <c r="AX129" s="27"/>
      <c r="AY129" s="27"/>
      <c r="AZ129" s="27"/>
      <c r="BA129" s="27"/>
      <c r="BB129" s="27"/>
      <c r="BC129" s="27"/>
      <c r="BD129" s="27"/>
      <c r="BE129" s="27"/>
      <c r="BF129" s="27"/>
      <c r="BG129" s="27"/>
      <c r="BH129" s="27"/>
      <c r="BI129" s="27"/>
      <c r="BJ129" s="27"/>
      <c r="BK129" s="27"/>
      <c r="BL129" s="27"/>
      <c r="BM129" s="27"/>
      <c r="BN129" s="27"/>
      <c r="BO129" s="27"/>
      <c r="BP129" s="27"/>
      <c r="BQ129" s="27"/>
      <c r="BR129" s="27"/>
      <c r="BS129" s="27"/>
      <c r="BT129" s="27"/>
      <c r="BU129" s="27"/>
      <c r="BV129" s="27"/>
      <c r="BW129" s="27"/>
      <c r="BX129" s="27"/>
      <c r="BY129" s="27"/>
      <c r="BZ129" s="27"/>
      <c r="CA129" s="27"/>
      <c r="CB129" s="27"/>
      <c r="CC129" s="27"/>
      <c r="CL129" s="24"/>
      <c r="CM129" s="24"/>
      <c r="CN129" s="24"/>
      <c r="CO129" s="24"/>
      <c r="CP129" s="24"/>
      <c r="CQ129" s="24"/>
      <c r="CR129" s="24"/>
      <c r="CS129" s="24"/>
      <c r="CT129" s="24"/>
      <c r="CU129" s="24"/>
      <c r="CV129" s="24"/>
      <c r="CW129" s="24"/>
      <c r="CX129" s="24"/>
      <c r="CY129" s="24"/>
      <c r="CZ129" s="24"/>
      <c r="DA129" s="24"/>
      <c r="DB129" s="24"/>
      <c r="DC129" s="24"/>
      <c r="DD129" s="24"/>
      <c r="DE129" s="24"/>
      <c r="DF129" s="24"/>
    </row>
    <row r="130" spans="5:162" x14ac:dyDescent="0.3">
      <c r="E130" s="27"/>
      <c r="F130" s="27"/>
      <c r="G130" s="27"/>
      <c r="H130" s="27"/>
      <c r="I130" s="27"/>
      <c r="J130" s="27"/>
      <c r="K130" s="27"/>
      <c r="L130" s="27"/>
      <c r="M130" s="27"/>
      <c r="N130" s="27"/>
      <c r="O130" s="27"/>
      <c r="P130" s="27"/>
      <c r="Q130" s="27"/>
      <c r="R130" s="27"/>
      <c r="S130" s="27"/>
      <c r="T130" s="27"/>
      <c r="U130" s="27"/>
      <c r="V130" s="27"/>
      <c r="W130" s="27"/>
      <c r="X130" s="27"/>
      <c r="Y130" s="27"/>
      <c r="Z130" s="27"/>
      <c r="AA130" s="27"/>
      <c r="AB130" s="27"/>
      <c r="AC130" s="27"/>
      <c r="AD130" s="27"/>
      <c r="AE130" s="27"/>
      <c r="AF130" s="27"/>
      <c r="AG130" s="27"/>
      <c r="AH130" s="27"/>
      <c r="AI130" s="27"/>
      <c r="AJ130" s="27"/>
      <c r="AK130" s="27"/>
      <c r="AL130" s="27"/>
      <c r="AM130" s="27"/>
      <c r="AN130" s="27"/>
      <c r="AO130" s="27"/>
      <c r="AP130" s="27"/>
      <c r="AQ130" s="27"/>
      <c r="AR130" s="27"/>
      <c r="AS130" s="27"/>
      <c r="AT130" s="27"/>
      <c r="AU130" s="27"/>
      <c r="AV130" s="27"/>
      <c r="AW130" s="27"/>
      <c r="AX130" s="27"/>
      <c r="AY130" s="27"/>
      <c r="AZ130" s="27"/>
      <c r="BA130" s="27"/>
      <c r="BB130" s="27"/>
      <c r="BC130" s="27"/>
      <c r="BD130" s="27"/>
      <c r="BE130" s="27"/>
      <c r="BF130" s="27"/>
      <c r="BG130" s="27"/>
      <c r="BH130" s="27"/>
      <c r="BI130" s="27"/>
      <c r="BJ130" s="27"/>
      <c r="BK130" s="27"/>
      <c r="BL130" s="27"/>
      <c r="BM130" s="27"/>
      <c r="BN130" s="27"/>
      <c r="BO130" s="27"/>
      <c r="BP130" s="27"/>
      <c r="BQ130" s="27"/>
      <c r="BR130" s="27"/>
      <c r="BS130" s="27"/>
      <c r="BT130" s="27"/>
      <c r="BU130" s="27"/>
      <c r="BV130" s="27"/>
      <c r="BW130" s="27"/>
      <c r="BX130" s="27"/>
      <c r="BY130" s="27"/>
      <c r="BZ130" s="27"/>
      <c r="CA130" s="27"/>
      <c r="CB130" s="27"/>
      <c r="CC130" s="27"/>
      <c r="CL130" s="24"/>
      <c r="CM130" s="24"/>
      <c r="CN130" s="24"/>
      <c r="CO130" s="24"/>
      <c r="CP130" s="24"/>
      <c r="CQ130" s="24"/>
      <c r="CR130" s="24"/>
      <c r="CS130" s="24"/>
      <c r="CT130" s="24"/>
      <c r="CU130" s="24"/>
      <c r="CV130" s="24"/>
      <c r="CW130" s="24"/>
      <c r="CX130" s="24"/>
      <c r="CY130" s="24"/>
      <c r="CZ130" s="24"/>
      <c r="DA130" s="24"/>
      <c r="DB130" s="24"/>
      <c r="DC130" s="24"/>
      <c r="DD130" s="24"/>
      <c r="DE130" s="24"/>
      <c r="DF130" s="24"/>
    </row>
    <row r="131" spans="5:162" x14ac:dyDescent="0.3">
      <c r="E131" s="27"/>
      <c r="F131" s="27"/>
      <c r="G131" s="27"/>
      <c r="H131" s="27"/>
      <c r="I131" s="27"/>
      <c r="J131" s="27"/>
      <c r="K131" s="27"/>
      <c r="L131" s="27"/>
      <c r="M131" s="27"/>
      <c r="N131" s="27"/>
      <c r="O131" s="27"/>
      <c r="P131" s="27"/>
      <c r="Q131" s="27"/>
      <c r="R131" s="27"/>
      <c r="S131" s="27"/>
      <c r="T131" s="27"/>
      <c r="U131" s="27"/>
      <c r="V131" s="27"/>
      <c r="W131" s="27"/>
      <c r="X131" s="27"/>
      <c r="Y131" s="27"/>
      <c r="Z131" s="27"/>
      <c r="AA131" s="27"/>
      <c r="AB131" s="27"/>
      <c r="AC131" s="27"/>
      <c r="AD131" s="27"/>
      <c r="AE131" s="27"/>
      <c r="AF131" s="27"/>
      <c r="AG131" s="27"/>
      <c r="AH131" s="27"/>
      <c r="AI131" s="27"/>
      <c r="AJ131" s="27"/>
      <c r="AK131" s="27"/>
      <c r="AL131" s="27"/>
      <c r="AM131" s="27"/>
      <c r="AN131" s="27"/>
      <c r="AO131" s="27"/>
      <c r="AP131" s="27"/>
      <c r="AQ131" s="27"/>
      <c r="AR131" s="27"/>
      <c r="AS131" s="27"/>
      <c r="AT131" s="27"/>
      <c r="AU131" s="27"/>
      <c r="AV131" s="27"/>
      <c r="AW131" s="27"/>
      <c r="AX131" s="27"/>
      <c r="AY131" s="27"/>
      <c r="AZ131" s="27"/>
      <c r="BA131" s="27"/>
      <c r="BB131" s="27"/>
      <c r="BC131" s="27"/>
      <c r="BD131" s="27"/>
      <c r="BE131" s="27"/>
      <c r="BF131" s="27"/>
      <c r="BG131" s="27"/>
      <c r="BH131" s="27"/>
      <c r="BI131" s="27"/>
      <c r="BJ131" s="27"/>
      <c r="BK131" s="27"/>
      <c r="BL131" s="27"/>
      <c r="BM131" s="27"/>
      <c r="BN131" s="27"/>
      <c r="BO131" s="27"/>
      <c r="BP131" s="27"/>
      <c r="BQ131" s="27"/>
      <c r="BR131" s="27"/>
      <c r="BS131" s="27"/>
      <c r="BT131" s="27"/>
      <c r="BU131" s="27"/>
      <c r="BV131" s="27"/>
      <c r="BW131" s="27"/>
      <c r="BX131" s="27"/>
      <c r="BY131" s="27"/>
      <c r="BZ131" s="27"/>
      <c r="CA131" s="27"/>
      <c r="CB131" s="27"/>
      <c r="CC131" s="27"/>
      <c r="CL131" s="24"/>
      <c r="CM131" s="24"/>
      <c r="CN131" s="24"/>
      <c r="CO131" s="24"/>
      <c r="CP131" s="24"/>
      <c r="CQ131" s="24"/>
      <c r="CR131" s="24"/>
      <c r="CS131" s="24"/>
      <c r="CT131" s="24"/>
      <c r="CU131" s="24"/>
      <c r="CV131" s="24"/>
      <c r="CW131" s="24"/>
      <c r="CX131" s="24"/>
      <c r="CY131" s="24"/>
      <c r="CZ131" s="24"/>
      <c r="DA131" s="24"/>
      <c r="DB131" s="24"/>
      <c r="DC131" s="24"/>
      <c r="DD131" s="24"/>
      <c r="DE131" s="24"/>
      <c r="DF131" s="24"/>
    </row>
    <row r="132" spans="5:162" x14ac:dyDescent="0.3">
      <c r="E132" s="27"/>
      <c r="F132" s="27"/>
      <c r="G132" s="27"/>
      <c r="H132" s="27"/>
      <c r="I132" s="27"/>
      <c r="J132" s="27"/>
      <c r="K132" s="27"/>
      <c r="L132" s="27"/>
      <c r="M132" s="27"/>
      <c r="N132" s="27"/>
      <c r="O132" s="27"/>
      <c r="P132" s="27"/>
      <c r="Q132" s="27"/>
      <c r="R132" s="27"/>
      <c r="S132" s="27"/>
      <c r="T132" s="27"/>
      <c r="U132" s="27"/>
      <c r="V132" s="27"/>
      <c r="W132" s="27"/>
      <c r="X132" s="27"/>
      <c r="Y132" s="27"/>
      <c r="Z132" s="27"/>
      <c r="AA132" s="27"/>
      <c r="AB132" s="27"/>
      <c r="AC132" s="27"/>
      <c r="AD132" s="27"/>
      <c r="AE132" s="27"/>
      <c r="AF132" s="27"/>
      <c r="AG132" s="27"/>
      <c r="AH132" s="27"/>
      <c r="AI132" s="27"/>
      <c r="AJ132" s="27"/>
      <c r="AK132" s="27"/>
      <c r="AL132" s="27"/>
      <c r="AM132" s="27"/>
      <c r="AN132" s="27"/>
      <c r="AO132" s="27"/>
      <c r="AP132" s="27"/>
      <c r="AQ132" s="27"/>
      <c r="AR132" s="27"/>
      <c r="AS132" s="27"/>
      <c r="AT132" s="27"/>
      <c r="AU132" s="27"/>
      <c r="AV132" s="27"/>
      <c r="AW132" s="27"/>
      <c r="AX132" s="27"/>
      <c r="AY132" s="27"/>
      <c r="AZ132" s="27"/>
      <c r="BA132" s="27"/>
      <c r="BB132" s="27"/>
      <c r="BC132" s="27"/>
      <c r="BD132" s="27"/>
      <c r="BE132" s="27"/>
      <c r="BF132" s="27"/>
      <c r="BG132" s="27"/>
      <c r="BH132" s="27"/>
      <c r="BI132" s="27"/>
      <c r="BJ132" s="27"/>
      <c r="BK132" s="27"/>
      <c r="BL132" s="27"/>
      <c r="BM132" s="27"/>
      <c r="BN132" s="27"/>
      <c r="BO132" s="27"/>
      <c r="BP132" s="27"/>
      <c r="BQ132" s="27"/>
      <c r="BR132" s="27"/>
      <c r="BS132" s="27"/>
      <c r="BT132" s="27"/>
      <c r="BU132" s="27"/>
      <c r="BV132" s="27"/>
      <c r="BW132" s="27"/>
      <c r="BX132" s="27"/>
      <c r="BY132" s="27"/>
      <c r="BZ132" s="27"/>
      <c r="CA132" s="27"/>
      <c r="CB132" s="27"/>
      <c r="CC132" s="27"/>
      <c r="CL132" s="24"/>
      <c r="CM132" s="24"/>
      <c r="CN132" s="24"/>
      <c r="CO132" s="24"/>
      <c r="CP132" s="24"/>
      <c r="CQ132" s="24"/>
      <c r="CR132" s="24"/>
      <c r="CS132" s="24"/>
      <c r="CT132" s="24"/>
      <c r="CU132" s="24"/>
      <c r="CV132" s="24"/>
      <c r="CW132" s="24"/>
      <c r="CX132" s="24"/>
      <c r="CY132" s="24"/>
      <c r="CZ132" s="24"/>
      <c r="DA132" s="24"/>
      <c r="DB132" s="24"/>
      <c r="DC132" s="24"/>
      <c r="DD132" s="24"/>
      <c r="DE132" s="24"/>
      <c r="DF132" s="24"/>
    </row>
    <row r="133" spans="5:162" x14ac:dyDescent="0.3">
      <c r="E133" s="27"/>
      <c r="F133" s="27"/>
      <c r="G133" s="27"/>
      <c r="H133" s="27"/>
      <c r="I133" s="27"/>
      <c r="J133" s="27"/>
      <c r="K133" s="27"/>
      <c r="L133" s="27"/>
      <c r="M133" s="27"/>
      <c r="N133" s="27"/>
      <c r="O133" s="27"/>
      <c r="P133" s="27"/>
      <c r="Q133" s="27"/>
      <c r="R133" s="27"/>
      <c r="S133" s="27"/>
      <c r="T133" s="27"/>
      <c r="U133" s="27"/>
      <c r="V133" s="27"/>
      <c r="W133" s="27"/>
      <c r="X133" s="27"/>
      <c r="Y133" s="27"/>
      <c r="Z133" s="27"/>
      <c r="AA133" s="27"/>
      <c r="AB133" s="27"/>
      <c r="AC133" s="27"/>
      <c r="AD133" s="27"/>
      <c r="AE133" s="27"/>
      <c r="AF133" s="27"/>
      <c r="AG133" s="27"/>
      <c r="AH133" s="27"/>
      <c r="AI133" s="27"/>
      <c r="AJ133" s="27"/>
      <c r="AK133" s="27"/>
      <c r="AL133" s="27"/>
      <c r="AM133" s="27"/>
      <c r="AN133" s="27"/>
      <c r="AO133" s="27"/>
      <c r="AP133" s="27"/>
      <c r="AQ133" s="27"/>
      <c r="AR133" s="27"/>
      <c r="AS133" s="27"/>
      <c r="AT133" s="27"/>
      <c r="AU133" s="27"/>
      <c r="AV133" s="27"/>
      <c r="AW133" s="27"/>
      <c r="AX133" s="27"/>
      <c r="AY133" s="27"/>
      <c r="AZ133" s="27"/>
      <c r="BA133" s="27"/>
      <c r="BB133" s="27"/>
      <c r="BC133" s="27"/>
      <c r="BD133" s="27"/>
      <c r="BE133" s="27"/>
      <c r="BF133" s="27"/>
      <c r="BG133" s="27"/>
      <c r="BH133" s="27"/>
      <c r="BI133" s="27"/>
      <c r="BJ133" s="27"/>
      <c r="BK133" s="27"/>
      <c r="BL133" s="27"/>
      <c r="BM133" s="27"/>
      <c r="BN133" s="27"/>
      <c r="BO133" s="27"/>
      <c r="BP133" s="27"/>
      <c r="BQ133" s="27"/>
      <c r="BR133" s="27"/>
      <c r="BS133" s="27"/>
      <c r="BT133" s="27"/>
      <c r="BU133" s="27"/>
      <c r="BV133" s="27"/>
      <c r="BW133" s="27"/>
      <c r="BX133" s="27"/>
      <c r="BY133" s="27"/>
      <c r="BZ133" s="27"/>
      <c r="CA133" s="27"/>
      <c r="CB133" s="27"/>
      <c r="CC133" s="27"/>
      <c r="CL133" s="24"/>
      <c r="CM133" s="24"/>
      <c r="CN133" s="24"/>
      <c r="CO133" s="24"/>
      <c r="CP133" s="24"/>
      <c r="CQ133" s="24"/>
      <c r="CR133" s="24"/>
      <c r="CS133" s="24"/>
      <c r="CT133" s="24"/>
      <c r="CU133" s="24"/>
      <c r="CV133" s="24"/>
      <c r="CW133" s="24"/>
      <c r="CX133" s="24"/>
      <c r="CY133" s="24"/>
      <c r="CZ133" s="24"/>
      <c r="DA133" s="24"/>
      <c r="DB133" s="24"/>
      <c r="DC133" s="24"/>
      <c r="DD133" s="24"/>
      <c r="DE133" s="24"/>
      <c r="DF133" s="24"/>
    </row>
    <row r="134" spans="5:162" x14ac:dyDescent="0.3">
      <c r="E134" s="27"/>
      <c r="F134" s="27"/>
      <c r="G134" s="27"/>
      <c r="H134" s="27"/>
      <c r="I134" s="27"/>
      <c r="J134" s="27"/>
      <c r="K134" s="27"/>
      <c r="L134" s="27"/>
      <c r="M134" s="27"/>
      <c r="N134" s="27"/>
      <c r="O134" s="27"/>
      <c r="P134" s="27"/>
      <c r="Q134" s="27"/>
      <c r="R134" s="27"/>
      <c r="S134" s="27"/>
      <c r="T134" s="27"/>
      <c r="U134" s="27"/>
      <c r="V134" s="27"/>
      <c r="W134" s="27"/>
      <c r="X134" s="27"/>
      <c r="Y134" s="27"/>
      <c r="Z134" s="27"/>
      <c r="AA134" s="27"/>
      <c r="AB134" s="27"/>
      <c r="AC134" s="27"/>
      <c r="AD134" s="27"/>
      <c r="AE134" s="27"/>
      <c r="AF134" s="27"/>
      <c r="AG134" s="27"/>
      <c r="AH134" s="27"/>
      <c r="AI134" s="27"/>
      <c r="AJ134" s="27"/>
      <c r="AK134" s="27"/>
      <c r="AL134" s="27"/>
      <c r="AM134" s="27"/>
      <c r="AN134" s="27"/>
      <c r="AO134" s="27"/>
      <c r="AP134" s="27"/>
      <c r="AQ134" s="27"/>
      <c r="AR134" s="27"/>
      <c r="AS134" s="27"/>
      <c r="AT134" s="27"/>
      <c r="AU134" s="27"/>
      <c r="AV134" s="27"/>
      <c r="AW134" s="27"/>
      <c r="AX134" s="27"/>
      <c r="AY134" s="27"/>
      <c r="AZ134" s="27"/>
      <c r="BA134" s="27"/>
      <c r="BB134" s="27"/>
      <c r="BC134" s="27"/>
      <c r="BD134" s="27"/>
      <c r="BE134" s="27"/>
      <c r="BF134" s="27"/>
      <c r="BG134" s="27"/>
      <c r="BH134" s="27"/>
      <c r="BI134" s="27"/>
      <c r="BJ134" s="27"/>
      <c r="BK134" s="27"/>
      <c r="BL134" s="27"/>
      <c r="BM134" s="27"/>
      <c r="BN134" s="27"/>
      <c r="BO134" s="27"/>
      <c r="BP134" s="27"/>
      <c r="BQ134" s="27"/>
      <c r="BR134" s="27"/>
      <c r="BS134" s="27"/>
      <c r="BT134" s="27"/>
      <c r="BU134" s="27"/>
      <c r="BV134" s="27"/>
      <c r="BW134" s="27"/>
      <c r="BX134" s="27"/>
      <c r="BY134" s="27"/>
      <c r="BZ134" s="27"/>
      <c r="CA134" s="27"/>
      <c r="CB134" s="27"/>
      <c r="CC134" s="27"/>
      <c r="CL134" s="24"/>
      <c r="CM134" s="24"/>
      <c r="CN134" s="24"/>
      <c r="CO134" s="24"/>
      <c r="CP134" s="24"/>
      <c r="CQ134" s="24"/>
      <c r="CR134" s="24"/>
      <c r="CS134" s="24"/>
      <c r="CT134" s="24"/>
      <c r="CU134" s="24"/>
      <c r="CV134" s="24"/>
      <c r="CW134" s="24"/>
      <c r="CX134" s="24"/>
      <c r="CY134" s="24"/>
      <c r="CZ134" s="24"/>
      <c r="DA134" s="24"/>
      <c r="DB134" s="24"/>
      <c r="DC134" s="24"/>
      <c r="DD134" s="24"/>
      <c r="DE134" s="24"/>
      <c r="DF134" s="24"/>
    </row>
    <row r="135" spans="5:162" x14ac:dyDescent="0.3">
      <c r="E135" s="27"/>
      <c r="F135" s="27"/>
      <c r="G135" s="27"/>
      <c r="H135" s="27"/>
      <c r="I135" s="27"/>
      <c r="J135" s="27"/>
      <c r="K135" s="27"/>
      <c r="L135" s="27"/>
      <c r="M135" s="27"/>
      <c r="N135" s="27"/>
      <c r="O135" s="27"/>
      <c r="P135" s="27"/>
      <c r="Q135" s="27"/>
      <c r="R135" s="27"/>
      <c r="S135" s="27"/>
      <c r="T135" s="27"/>
      <c r="U135" s="27"/>
      <c r="V135" s="27"/>
      <c r="W135" s="27"/>
      <c r="X135" s="27"/>
      <c r="Y135" s="27"/>
      <c r="Z135" s="27"/>
      <c r="AA135" s="27"/>
      <c r="AB135" s="27"/>
      <c r="AC135" s="27"/>
      <c r="AD135" s="27"/>
      <c r="AE135" s="27"/>
      <c r="AF135" s="27"/>
      <c r="AG135" s="27"/>
      <c r="AH135" s="27"/>
      <c r="AI135" s="27"/>
      <c r="AJ135" s="27"/>
      <c r="AK135" s="27"/>
      <c r="AL135" s="27"/>
      <c r="AM135" s="27"/>
      <c r="AN135" s="27"/>
      <c r="AO135" s="27"/>
      <c r="AP135" s="27"/>
      <c r="AQ135" s="27"/>
      <c r="AR135" s="27"/>
      <c r="AS135" s="27"/>
      <c r="AT135" s="27"/>
      <c r="AU135" s="27"/>
      <c r="AV135" s="27"/>
      <c r="AW135" s="27"/>
      <c r="AX135" s="27"/>
      <c r="AY135" s="27"/>
      <c r="AZ135" s="27"/>
      <c r="BA135" s="27"/>
      <c r="BB135" s="27"/>
      <c r="BC135" s="27"/>
      <c r="BD135" s="27"/>
      <c r="BE135" s="27"/>
      <c r="BF135" s="27"/>
      <c r="BG135" s="27"/>
      <c r="BH135" s="27"/>
      <c r="BI135" s="27"/>
      <c r="BJ135" s="27"/>
      <c r="BK135" s="27"/>
      <c r="BL135" s="27"/>
      <c r="BM135" s="27"/>
      <c r="BN135" s="27"/>
      <c r="BO135" s="27"/>
      <c r="BP135" s="27"/>
      <c r="BQ135" s="27"/>
      <c r="BR135" s="27"/>
      <c r="BS135" s="27"/>
      <c r="BT135" s="27"/>
      <c r="BU135" s="27"/>
      <c r="BV135" s="27"/>
      <c r="BW135" s="27"/>
      <c r="BX135" s="27"/>
      <c r="BY135" s="27"/>
      <c r="BZ135" s="27"/>
      <c r="CA135" s="27"/>
      <c r="CB135" s="27"/>
      <c r="CC135" s="27"/>
      <c r="CL135" s="24"/>
      <c r="CM135" s="24"/>
      <c r="CN135" s="24"/>
      <c r="CO135" s="24"/>
      <c r="CP135" s="24"/>
      <c r="CQ135" s="24"/>
      <c r="CR135" s="24"/>
      <c r="CS135" s="24"/>
      <c r="CT135" s="24"/>
      <c r="CU135" s="24"/>
      <c r="CV135" s="24"/>
      <c r="CW135" s="24"/>
      <c r="CX135" s="24"/>
      <c r="CY135" s="24"/>
      <c r="CZ135" s="24"/>
      <c r="DA135" s="24"/>
      <c r="DB135" s="24"/>
      <c r="DC135" s="24"/>
      <c r="DD135" s="24"/>
      <c r="DE135" s="24"/>
      <c r="DF135" s="24"/>
    </row>
    <row r="136" spans="5:162" x14ac:dyDescent="0.3">
      <c r="E136" s="27"/>
      <c r="F136" s="27"/>
      <c r="G136" s="27"/>
      <c r="H136" s="27"/>
      <c r="I136" s="27"/>
      <c r="J136" s="27"/>
      <c r="K136" s="27"/>
      <c r="L136" s="27"/>
      <c r="M136" s="27"/>
      <c r="N136" s="27"/>
      <c r="O136" s="27"/>
      <c r="P136" s="27"/>
      <c r="Q136" s="27"/>
      <c r="R136" s="27"/>
      <c r="S136" s="27"/>
      <c r="T136" s="27"/>
      <c r="U136" s="27"/>
      <c r="V136" s="27"/>
      <c r="W136" s="27"/>
      <c r="X136" s="27"/>
      <c r="Y136" s="27"/>
      <c r="Z136" s="27"/>
      <c r="AA136" s="27"/>
      <c r="AB136" s="27"/>
      <c r="AC136" s="27"/>
      <c r="AD136" s="27"/>
      <c r="AE136" s="27"/>
      <c r="AF136" s="27"/>
      <c r="AG136" s="27"/>
      <c r="AH136" s="27"/>
      <c r="AI136" s="27"/>
      <c r="AJ136" s="27"/>
      <c r="AK136" s="27"/>
      <c r="AL136" s="27"/>
      <c r="AM136" s="27"/>
      <c r="AN136" s="27"/>
      <c r="AO136" s="27"/>
      <c r="AP136" s="27"/>
      <c r="AQ136" s="27"/>
      <c r="AR136" s="27"/>
      <c r="AS136" s="27"/>
      <c r="AT136" s="27"/>
      <c r="AU136" s="27"/>
      <c r="AV136" s="27"/>
      <c r="AW136" s="27"/>
      <c r="AX136" s="27"/>
      <c r="AY136" s="27"/>
      <c r="AZ136" s="27"/>
      <c r="BA136" s="27"/>
      <c r="BB136" s="27"/>
      <c r="BC136" s="27"/>
      <c r="BD136" s="27"/>
      <c r="BE136" s="27"/>
      <c r="BF136" s="27"/>
      <c r="BG136" s="27"/>
      <c r="BH136" s="27"/>
      <c r="BI136" s="27"/>
      <c r="BJ136" s="27"/>
      <c r="BK136" s="27"/>
      <c r="BL136" s="27"/>
      <c r="BM136" s="27"/>
      <c r="BN136" s="27"/>
      <c r="BO136" s="27"/>
      <c r="BP136" s="27"/>
      <c r="BQ136" s="27"/>
      <c r="BR136" s="27"/>
      <c r="BS136" s="27"/>
      <c r="BT136" s="27"/>
      <c r="BU136" s="27"/>
      <c r="BV136" s="27"/>
      <c r="BW136" s="27"/>
      <c r="BX136" s="27"/>
      <c r="BY136" s="27"/>
      <c r="BZ136" s="27"/>
      <c r="CA136" s="27"/>
      <c r="CB136" s="27"/>
      <c r="CC136" s="27"/>
      <c r="CL136" s="24"/>
      <c r="CM136" s="24"/>
      <c r="CN136" s="24"/>
      <c r="CO136" s="24"/>
      <c r="CP136" s="24"/>
      <c r="CQ136" s="24"/>
      <c r="CR136" s="24"/>
      <c r="CS136" s="24"/>
      <c r="CT136" s="24"/>
      <c r="CU136" s="24"/>
      <c r="CV136" s="24"/>
      <c r="CW136" s="24"/>
      <c r="CX136" s="24"/>
      <c r="CY136" s="24"/>
      <c r="CZ136" s="24"/>
      <c r="DA136" s="24"/>
      <c r="DB136" s="24"/>
      <c r="DC136" s="24"/>
      <c r="DD136" s="24"/>
      <c r="DE136" s="24"/>
      <c r="DF136" s="24"/>
    </row>
    <row r="137" spans="5:162" x14ac:dyDescent="0.3">
      <c r="E137" s="27"/>
      <c r="F137" s="27"/>
      <c r="G137" s="27"/>
      <c r="H137" s="27"/>
      <c r="I137" s="27"/>
      <c r="J137" s="27"/>
      <c r="K137" s="27"/>
      <c r="L137" s="27"/>
      <c r="M137" s="27"/>
      <c r="N137" s="27"/>
      <c r="O137" s="27"/>
      <c r="P137" s="27"/>
      <c r="Q137" s="27"/>
      <c r="R137" s="27"/>
      <c r="S137" s="27"/>
      <c r="T137" s="27"/>
      <c r="U137" s="27"/>
      <c r="V137" s="27"/>
      <c r="W137" s="27"/>
      <c r="X137" s="27"/>
      <c r="Y137" s="27"/>
      <c r="Z137" s="27"/>
      <c r="AA137" s="27"/>
      <c r="AB137" s="27"/>
      <c r="AC137" s="27"/>
      <c r="AD137" s="27"/>
      <c r="AE137" s="27"/>
      <c r="AF137" s="27"/>
      <c r="AG137" s="27"/>
      <c r="AH137" s="27"/>
      <c r="AI137" s="27"/>
      <c r="AJ137" s="27"/>
      <c r="AK137" s="27"/>
      <c r="AL137" s="27"/>
      <c r="AM137" s="27"/>
      <c r="AN137" s="27"/>
      <c r="AO137" s="27"/>
      <c r="AP137" s="27"/>
      <c r="AQ137" s="27"/>
      <c r="AR137" s="27"/>
      <c r="AS137" s="27"/>
      <c r="AT137" s="27"/>
      <c r="AU137" s="27"/>
      <c r="AV137" s="27"/>
      <c r="AW137" s="27"/>
      <c r="AX137" s="27"/>
      <c r="AY137" s="27"/>
      <c r="AZ137" s="27"/>
      <c r="BA137" s="27"/>
      <c r="BB137" s="27"/>
      <c r="BC137" s="27"/>
      <c r="BD137" s="27"/>
      <c r="BE137" s="27"/>
      <c r="BF137" s="27"/>
      <c r="BG137" s="27"/>
      <c r="BH137" s="27"/>
      <c r="BI137" s="27"/>
      <c r="BJ137" s="27"/>
      <c r="BK137" s="27"/>
      <c r="BL137" s="27"/>
      <c r="BM137" s="27"/>
      <c r="BN137" s="27"/>
      <c r="BO137" s="27"/>
      <c r="BP137" s="27"/>
      <c r="BQ137" s="27"/>
      <c r="BR137" s="27"/>
      <c r="BS137" s="27"/>
      <c r="BT137" s="27"/>
      <c r="BU137" s="27"/>
      <c r="BV137" s="27"/>
      <c r="BW137" s="27"/>
      <c r="BX137" s="27"/>
      <c r="BY137" s="27"/>
      <c r="BZ137" s="27"/>
      <c r="CA137" s="27"/>
      <c r="CB137" s="27"/>
      <c r="CC137" s="27"/>
      <c r="CL137" s="24"/>
      <c r="CM137" s="24"/>
      <c r="CN137" s="24"/>
      <c r="CO137" s="24"/>
      <c r="CP137" s="24"/>
      <c r="CQ137" s="24"/>
      <c r="CR137" s="24"/>
      <c r="CS137" s="24"/>
      <c r="CT137" s="24"/>
      <c r="CU137" s="24"/>
      <c r="CV137" s="24"/>
      <c r="CW137" s="24"/>
      <c r="CX137" s="24"/>
      <c r="CY137" s="24"/>
      <c r="CZ137" s="24"/>
      <c r="DA137" s="24"/>
      <c r="DB137" s="24"/>
      <c r="DC137" s="24"/>
      <c r="DD137" s="24"/>
      <c r="DE137" s="24"/>
      <c r="DF137" s="24"/>
    </row>
    <row r="138" spans="5:162" x14ac:dyDescent="0.3">
      <c r="E138" s="27"/>
      <c r="F138" s="27"/>
      <c r="G138" s="27"/>
      <c r="H138" s="27"/>
      <c r="I138" s="27"/>
      <c r="J138" s="27"/>
      <c r="K138" s="27"/>
      <c r="L138" s="27" t="s">
        <v>69</v>
      </c>
      <c r="M138" s="27"/>
      <c r="N138" s="27"/>
      <c r="O138" s="27"/>
      <c r="P138" s="27"/>
      <c r="Q138" s="27"/>
      <c r="R138" s="27"/>
      <c r="S138" s="27"/>
      <c r="T138" s="27"/>
      <c r="U138" s="27"/>
      <c r="V138" s="27"/>
      <c r="W138" s="27"/>
      <c r="X138" s="27"/>
      <c r="Y138" s="27"/>
      <c r="Z138" s="27"/>
      <c r="AA138" s="27"/>
      <c r="AB138" s="27"/>
      <c r="AC138" s="27"/>
      <c r="AD138" s="27"/>
      <c r="AE138" s="27"/>
      <c r="AF138" s="27"/>
      <c r="AG138" s="27"/>
      <c r="AH138" s="27"/>
      <c r="AI138" s="27"/>
      <c r="AJ138" s="27"/>
      <c r="AK138" s="27"/>
      <c r="AL138" s="27"/>
      <c r="AM138" s="27"/>
      <c r="AN138" s="27"/>
      <c r="AO138" s="27"/>
      <c r="AP138" s="27"/>
      <c r="AQ138" s="27"/>
      <c r="AR138" s="27"/>
      <c r="AS138" s="27"/>
      <c r="AT138" s="27"/>
      <c r="AU138" s="27"/>
      <c r="AV138" s="27"/>
      <c r="AW138" s="27"/>
      <c r="AX138" s="27"/>
      <c r="AY138" s="27"/>
      <c r="AZ138" s="27"/>
      <c r="BA138" s="27"/>
      <c r="BB138" s="27"/>
      <c r="BC138" s="27"/>
      <c r="BD138" s="27"/>
      <c r="BE138" s="27"/>
      <c r="BF138" s="27"/>
      <c r="BG138" s="27"/>
      <c r="BH138" s="27"/>
      <c r="BI138" s="27"/>
      <c r="BJ138" s="27"/>
      <c r="BK138" s="27"/>
      <c r="BL138" s="27"/>
      <c r="BM138" s="27"/>
      <c r="BN138" s="27"/>
      <c r="BO138" s="27"/>
      <c r="BP138" s="27"/>
      <c r="BQ138" s="27"/>
      <c r="BR138" s="27"/>
      <c r="BS138" s="27"/>
      <c r="BT138" s="27"/>
      <c r="BU138" s="27"/>
      <c r="BV138" s="27"/>
      <c r="BW138" s="27"/>
      <c r="BX138" s="27"/>
      <c r="BY138" s="27"/>
      <c r="BZ138" s="27"/>
      <c r="CA138" s="27"/>
      <c r="CB138" s="27"/>
      <c r="CC138" s="27"/>
      <c r="CL138" s="24"/>
      <c r="CM138" s="24"/>
      <c r="CN138" s="24"/>
      <c r="CO138" s="24"/>
      <c r="CP138" s="24"/>
      <c r="CQ138" s="24"/>
      <c r="CR138" s="24"/>
      <c r="CS138" s="24"/>
      <c r="CT138" s="24"/>
      <c r="CU138" s="24"/>
      <c r="CV138" s="24"/>
      <c r="CW138" s="24"/>
      <c r="CX138" s="24"/>
      <c r="CY138" s="24"/>
      <c r="CZ138" s="24"/>
      <c r="DA138" s="24"/>
      <c r="DB138" s="24"/>
      <c r="DC138" s="24"/>
      <c r="DD138" s="24"/>
      <c r="DE138" s="24"/>
      <c r="DF138" s="24"/>
    </row>
    <row r="139" spans="5:162" x14ac:dyDescent="0.3">
      <c r="E139" s="27"/>
      <c r="F139" s="27"/>
      <c r="G139" s="27"/>
      <c r="H139" s="27"/>
      <c r="I139" s="27"/>
      <c r="J139" s="27"/>
      <c r="K139" s="27"/>
      <c r="L139" s="27"/>
      <c r="M139" s="27"/>
      <c r="N139" s="27"/>
      <c r="O139" s="27"/>
      <c r="P139" s="27"/>
      <c r="Q139" s="27"/>
      <c r="R139" s="27"/>
      <c r="S139" s="27"/>
      <c r="T139" s="27"/>
      <c r="U139" s="27"/>
      <c r="V139" s="27"/>
      <c r="W139" s="27"/>
      <c r="X139" s="27"/>
      <c r="Y139" s="27"/>
      <c r="Z139" s="27"/>
      <c r="AA139" s="27"/>
      <c r="AB139" s="27"/>
      <c r="AC139" s="27"/>
      <c r="AD139" s="27"/>
      <c r="AE139" s="27"/>
      <c r="AF139" s="27"/>
      <c r="AG139" s="27"/>
      <c r="AH139" s="27"/>
      <c r="AI139" s="27"/>
      <c r="AJ139" s="27"/>
      <c r="AK139" s="27"/>
      <c r="AL139" s="27"/>
      <c r="AM139" s="27"/>
      <c r="AN139" s="27"/>
      <c r="AO139" s="27"/>
      <c r="AP139" s="27"/>
      <c r="AQ139" s="27"/>
      <c r="AR139" s="27"/>
      <c r="AS139" s="27"/>
      <c r="AT139" s="27"/>
      <c r="AU139" s="27"/>
      <c r="AV139" s="27"/>
      <c r="AW139" s="27"/>
      <c r="AX139" s="27"/>
      <c r="AY139" s="27"/>
      <c r="AZ139" s="27"/>
      <c r="BA139" s="27"/>
      <c r="BB139" s="27"/>
      <c r="BC139" s="27"/>
      <c r="BD139" s="27"/>
      <c r="BE139" s="27"/>
      <c r="BF139" s="27"/>
      <c r="BG139" s="27"/>
      <c r="BH139" s="27"/>
      <c r="BI139" s="27"/>
      <c r="BJ139" s="27"/>
      <c r="BK139" s="27"/>
      <c r="BL139" s="27"/>
      <c r="BM139" s="27"/>
      <c r="BN139" s="27"/>
      <c r="BO139" s="27"/>
      <c r="BP139" s="27"/>
      <c r="BQ139" s="27"/>
      <c r="BR139" s="27"/>
      <c r="BS139" s="27"/>
      <c r="BT139" s="27"/>
      <c r="BU139" s="27"/>
      <c r="BV139" s="27"/>
      <c r="BW139" s="27"/>
      <c r="BX139" s="27"/>
      <c r="BY139" s="27"/>
      <c r="BZ139" s="27"/>
      <c r="CA139" s="27"/>
      <c r="CB139" s="27"/>
      <c r="CC139" s="27"/>
      <c r="CL139" s="24"/>
      <c r="CM139" s="24"/>
      <c r="CN139" s="24"/>
      <c r="CO139" s="24"/>
      <c r="CP139" s="24"/>
      <c r="CQ139" s="24"/>
      <c r="CR139" s="24"/>
      <c r="CS139" s="24"/>
      <c r="CT139" s="24"/>
      <c r="CU139" s="24"/>
      <c r="CV139" s="24"/>
      <c r="CW139" s="24"/>
      <c r="CX139" s="24"/>
      <c r="CY139" s="24"/>
      <c r="CZ139" s="24"/>
      <c r="DA139" s="24"/>
      <c r="DB139" s="24"/>
      <c r="DC139" s="24"/>
      <c r="DD139" s="24"/>
      <c r="DE139" s="24"/>
      <c r="DF139" s="24"/>
    </row>
    <row r="140" spans="5:162" x14ac:dyDescent="0.3">
      <c r="E140" s="27"/>
      <c r="F140" s="27"/>
      <c r="G140" s="27"/>
      <c r="H140" s="27"/>
      <c r="I140" s="27"/>
      <c r="J140" s="27"/>
      <c r="K140" s="27"/>
      <c r="L140" s="27"/>
      <c r="M140" s="27"/>
      <c r="N140" s="27"/>
      <c r="O140" s="27"/>
      <c r="P140" s="27"/>
      <c r="Q140" s="27"/>
      <c r="R140" s="27"/>
      <c r="S140" s="27"/>
      <c r="T140" s="27"/>
      <c r="U140" s="27"/>
      <c r="V140" s="27"/>
      <c r="W140" s="27"/>
      <c r="X140" s="27"/>
      <c r="Y140" s="27"/>
      <c r="Z140" s="27"/>
      <c r="AA140" s="27"/>
      <c r="AB140" s="27"/>
      <c r="AC140" s="27"/>
      <c r="AD140" s="27"/>
      <c r="AE140" s="27"/>
      <c r="AF140" s="27"/>
      <c r="AG140" s="27"/>
      <c r="AH140" s="27"/>
      <c r="AI140" s="27"/>
      <c r="AJ140" s="27"/>
      <c r="AK140" s="27"/>
      <c r="AL140" s="27"/>
      <c r="AM140" s="27"/>
      <c r="AN140" s="27"/>
      <c r="AO140" s="27"/>
      <c r="AP140" s="27"/>
      <c r="AQ140" s="27"/>
      <c r="AR140" s="27"/>
      <c r="AS140" s="27"/>
      <c r="AT140" s="27"/>
      <c r="AU140" s="27"/>
      <c r="AV140" s="27"/>
      <c r="AW140" s="27"/>
      <c r="AX140" s="27"/>
      <c r="AY140" s="27"/>
      <c r="AZ140" s="27"/>
      <c r="BA140" s="27"/>
      <c r="BB140" s="27"/>
      <c r="BC140" s="27"/>
      <c r="BD140" s="27"/>
      <c r="BE140" s="27"/>
      <c r="BF140" s="27"/>
      <c r="BG140" s="27"/>
      <c r="BH140" s="27"/>
      <c r="BI140" s="27"/>
      <c r="BJ140" s="27"/>
      <c r="BK140" s="27"/>
      <c r="BL140" s="27"/>
      <c r="BM140" s="27"/>
      <c r="BN140" s="27"/>
      <c r="BO140" s="27"/>
      <c r="BP140" s="27"/>
      <c r="BQ140" s="27"/>
      <c r="BR140" s="27"/>
      <c r="BS140" s="27"/>
      <c r="BT140" s="27"/>
      <c r="BU140" s="27"/>
      <c r="BV140" s="27"/>
      <c r="BW140" s="27"/>
      <c r="BX140" s="27"/>
      <c r="BY140" s="27"/>
      <c r="BZ140" s="27"/>
      <c r="CA140" s="27"/>
      <c r="CB140" s="27"/>
      <c r="CC140" s="27"/>
      <c r="CL140" s="24"/>
      <c r="CM140" s="24"/>
      <c r="CN140" s="24"/>
      <c r="CO140" s="24"/>
      <c r="CP140" s="24"/>
      <c r="CQ140" s="24"/>
      <c r="CR140" s="24"/>
      <c r="CS140" s="24"/>
      <c r="CT140" s="24"/>
      <c r="CU140" s="24"/>
      <c r="CV140" s="24"/>
      <c r="CW140" s="24"/>
      <c r="CX140" s="24"/>
      <c r="CY140" s="24"/>
      <c r="CZ140" s="24"/>
      <c r="DA140" s="24"/>
      <c r="DB140" s="24"/>
      <c r="DC140" s="24"/>
      <c r="DD140" s="24"/>
      <c r="DE140" s="24"/>
      <c r="DF140" s="24"/>
    </row>
    <row r="141" spans="5:162" x14ac:dyDescent="0.3">
      <c r="E141" s="27"/>
      <c r="F141" s="27"/>
      <c r="G141" s="27"/>
      <c r="H141" s="27"/>
      <c r="I141" s="27"/>
      <c r="J141" s="27"/>
      <c r="K141" s="27"/>
      <c r="L141" s="27"/>
      <c r="M141" s="27"/>
      <c r="N141" s="27"/>
      <c r="O141" s="27"/>
      <c r="P141" s="27"/>
      <c r="Q141" s="27"/>
      <c r="R141" s="27"/>
      <c r="S141" s="27"/>
      <c r="T141" s="27"/>
      <c r="U141" s="27"/>
      <c r="V141" s="27"/>
      <c r="W141" s="27"/>
      <c r="X141" s="27"/>
      <c r="Y141" s="27"/>
      <c r="Z141" s="27"/>
      <c r="AA141" s="27"/>
      <c r="AB141" s="27"/>
      <c r="AC141" s="27"/>
      <c r="AD141" s="27"/>
      <c r="AE141" s="27"/>
      <c r="AF141" s="27"/>
      <c r="AG141" s="27"/>
      <c r="AH141" s="27"/>
      <c r="AI141" s="27"/>
      <c r="AJ141" s="27"/>
      <c r="AK141" s="27"/>
      <c r="AL141" s="27"/>
      <c r="AM141" s="27"/>
      <c r="AN141" s="27"/>
      <c r="AO141" s="27"/>
      <c r="AP141" s="27"/>
      <c r="AQ141" s="27"/>
      <c r="AR141" s="27"/>
      <c r="AS141" s="27"/>
      <c r="AT141" s="27"/>
      <c r="AU141" s="27"/>
      <c r="AV141" s="27"/>
      <c r="AW141" s="27"/>
      <c r="AX141" s="27"/>
      <c r="AY141" s="27"/>
      <c r="AZ141" s="27"/>
      <c r="BA141" s="27"/>
      <c r="BB141" s="27"/>
      <c r="BC141" s="27"/>
      <c r="BD141" s="27"/>
      <c r="BE141" s="27"/>
      <c r="BF141" s="27"/>
      <c r="BG141" s="27"/>
      <c r="BH141" s="27"/>
      <c r="BI141" s="27"/>
      <c r="BJ141" s="27"/>
      <c r="BK141" s="27"/>
      <c r="BL141" s="27"/>
      <c r="BM141" s="27"/>
      <c r="BN141" s="27"/>
      <c r="BO141" s="27"/>
      <c r="BP141" s="27"/>
      <c r="BQ141" s="27"/>
      <c r="BR141" s="27"/>
      <c r="BS141" s="27"/>
      <c r="BT141" s="27"/>
      <c r="BU141" s="27"/>
      <c r="BV141" s="27"/>
      <c r="BW141" s="27"/>
      <c r="BX141" s="27"/>
      <c r="BY141" s="27"/>
      <c r="BZ141" s="27"/>
      <c r="CA141" s="27"/>
      <c r="CB141" s="27"/>
      <c r="CC141" s="27"/>
      <c r="CL141" s="24"/>
      <c r="CM141" s="24"/>
      <c r="CN141" s="24"/>
      <c r="CO141" s="24"/>
      <c r="CP141" s="24"/>
      <c r="CQ141" s="24"/>
      <c r="CR141" s="24"/>
      <c r="CS141" s="24"/>
      <c r="CT141" s="24"/>
      <c r="CU141" s="24"/>
      <c r="CV141" s="24"/>
      <c r="CW141" s="24"/>
      <c r="CX141" s="24"/>
      <c r="CY141" s="24"/>
      <c r="CZ141" s="24"/>
      <c r="DA141" s="24"/>
      <c r="DB141" s="24"/>
      <c r="DC141" s="24"/>
      <c r="DD141" s="24"/>
      <c r="DE141" s="24"/>
      <c r="DF141" s="24"/>
    </row>
    <row r="142" spans="5:162" x14ac:dyDescent="0.3">
      <c r="E142" s="27"/>
      <c r="F142" s="27"/>
      <c r="G142" s="27"/>
      <c r="H142" s="27"/>
      <c r="I142" s="27"/>
      <c r="J142" s="27"/>
      <c r="K142" s="27"/>
      <c r="L142" s="27"/>
      <c r="M142" s="27"/>
      <c r="N142" s="27"/>
      <c r="O142" s="27"/>
      <c r="P142" s="27"/>
      <c r="Q142" s="27"/>
      <c r="R142" s="27"/>
      <c r="S142" s="27"/>
      <c r="T142" s="27"/>
      <c r="U142" s="27"/>
      <c r="V142" s="27"/>
      <c r="W142" s="27"/>
      <c r="X142" s="27"/>
      <c r="Y142" s="27"/>
      <c r="Z142" s="27"/>
      <c r="AA142" s="27"/>
      <c r="AB142" s="27"/>
      <c r="AC142" s="27"/>
      <c r="AD142" s="27"/>
      <c r="AE142" s="27"/>
      <c r="AF142" s="27"/>
      <c r="AG142" s="27"/>
      <c r="AH142" s="27"/>
      <c r="AI142" s="27"/>
      <c r="AJ142" s="27"/>
      <c r="AK142" s="27"/>
      <c r="AL142" s="27"/>
      <c r="AM142" s="27"/>
      <c r="AN142" s="27"/>
      <c r="AO142" s="27"/>
      <c r="AP142" s="27"/>
      <c r="AQ142" s="27"/>
      <c r="AR142" s="27"/>
      <c r="AS142" s="27"/>
      <c r="AT142" s="27"/>
      <c r="AU142" s="27"/>
      <c r="AV142" s="27"/>
      <c r="AW142" s="27"/>
      <c r="AX142" s="27"/>
      <c r="AY142" s="27"/>
      <c r="AZ142" s="27"/>
      <c r="BA142" s="27"/>
      <c r="BB142" s="27"/>
      <c r="BC142" s="27"/>
      <c r="BD142" s="27"/>
      <c r="BE142" s="27"/>
      <c r="BF142" s="27"/>
      <c r="BG142" s="27"/>
      <c r="BH142" s="27"/>
      <c r="BI142" s="27"/>
      <c r="BJ142" s="27"/>
      <c r="BK142" s="27"/>
      <c r="BL142" s="27"/>
      <c r="BM142" s="27"/>
      <c r="BN142" s="27"/>
      <c r="BO142" s="27"/>
      <c r="BP142" s="27"/>
      <c r="BQ142" s="27"/>
      <c r="BR142" s="27"/>
      <c r="BS142" s="27"/>
      <c r="BT142" s="27"/>
      <c r="BU142" s="27"/>
      <c r="BV142" s="27"/>
      <c r="BW142" s="27"/>
      <c r="BX142" s="27"/>
      <c r="BY142" s="27"/>
      <c r="BZ142" s="27"/>
      <c r="CA142" s="27"/>
      <c r="CB142" s="27"/>
      <c r="CC142" s="27"/>
      <c r="CL142" s="24"/>
      <c r="CM142" s="24"/>
      <c r="CN142" s="24"/>
      <c r="CO142" s="24"/>
      <c r="CP142" s="24"/>
      <c r="CQ142" s="24"/>
      <c r="CR142" s="24"/>
      <c r="CS142" s="24"/>
      <c r="CT142" s="24"/>
      <c r="CU142" s="24"/>
      <c r="CV142" s="24"/>
      <c r="CW142" s="24"/>
      <c r="CX142" s="24"/>
      <c r="CY142" s="24"/>
      <c r="CZ142" s="24"/>
      <c r="DA142" s="24"/>
      <c r="DB142" s="24"/>
      <c r="DC142" s="24"/>
      <c r="DD142" s="24"/>
      <c r="DE142" s="24"/>
      <c r="DF142" s="24"/>
    </row>
    <row r="143" spans="5:162" x14ac:dyDescent="0.3">
      <c r="E143" s="27"/>
      <c r="F143" s="27"/>
      <c r="G143" s="27"/>
      <c r="H143" s="27"/>
      <c r="I143" s="27"/>
      <c r="J143" s="27"/>
      <c r="K143" s="27"/>
      <c r="L143" s="27"/>
      <c r="M143" s="27"/>
      <c r="N143" s="27"/>
      <c r="O143" s="27"/>
      <c r="P143" s="27"/>
      <c r="Q143" s="27"/>
      <c r="R143" s="27"/>
      <c r="S143" s="27"/>
      <c r="T143" s="27"/>
      <c r="U143" s="27"/>
      <c r="V143" s="27"/>
      <c r="W143" s="27"/>
      <c r="X143" s="27"/>
      <c r="Y143" s="27"/>
      <c r="Z143" s="27"/>
      <c r="AA143" s="27"/>
      <c r="AB143" s="27"/>
      <c r="AC143" s="27"/>
      <c r="AD143" s="27"/>
      <c r="AE143" s="27"/>
      <c r="AF143" s="27"/>
      <c r="AG143" s="27"/>
      <c r="AH143" s="27"/>
      <c r="AI143" s="27"/>
      <c r="AJ143" s="27"/>
      <c r="AK143" s="27"/>
      <c r="AL143" s="27"/>
      <c r="AM143" s="27"/>
      <c r="AN143" s="27"/>
      <c r="AO143" s="27"/>
      <c r="AP143" s="27"/>
      <c r="AQ143" s="27"/>
      <c r="AR143" s="27"/>
      <c r="AS143" s="27"/>
      <c r="AT143" s="27"/>
      <c r="AU143" s="27"/>
      <c r="AV143" s="27"/>
      <c r="AW143" s="27"/>
      <c r="AX143" s="27"/>
      <c r="AY143" s="27"/>
      <c r="AZ143" s="27"/>
      <c r="BA143" s="27"/>
      <c r="BB143" s="27"/>
      <c r="BC143" s="27"/>
      <c r="BD143" s="27"/>
      <c r="BE143" s="27"/>
      <c r="BF143" s="27"/>
      <c r="BG143" s="27"/>
      <c r="BH143" s="27"/>
      <c r="BI143" s="27"/>
      <c r="BJ143" s="27"/>
      <c r="BK143" s="27"/>
      <c r="BL143" s="27"/>
      <c r="BM143" s="27"/>
      <c r="BN143" s="27"/>
      <c r="BO143" s="27"/>
      <c r="BP143" s="27"/>
      <c r="BQ143" s="27"/>
      <c r="BR143" s="27"/>
      <c r="BS143" s="27"/>
      <c r="BT143" s="27"/>
      <c r="BU143" s="27"/>
      <c r="BV143" s="27"/>
      <c r="BW143" s="27"/>
      <c r="BX143" s="27"/>
      <c r="BY143" s="27"/>
      <c r="BZ143" s="27"/>
      <c r="CA143" s="27"/>
      <c r="CB143" s="27"/>
      <c r="CC143" s="27"/>
      <c r="CL143" s="24"/>
      <c r="CM143" s="24"/>
      <c r="CN143" s="24"/>
      <c r="CO143" s="24"/>
      <c r="CP143" s="24"/>
      <c r="CQ143" s="24"/>
      <c r="CR143" s="24"/>
      <c r="CS143" s="24"/>
      <c r="CT143" s="24"/>
      <c r="CU143" s="24"/>
      <c r="CV143" s="24"/>
      <c r="CW143" s="24"/>
      <c r="CX143" s="24"/>
      <c r="CY143" s="24"/>
      <c r="CZ143" s="24"/>
      <c r="DA143" s="24"/>
      <c r="DB143" s="24"/>
      <c r="DC143" s="24"/>
      <c r="DD143" s="24"/>
      <c r="DE143" s="24"/>
      <c r="DF143" s="24"/>
    </row>
    <row r="144" spans="5:162" x14ac:dyDescent="0.3">
      <c r="E144" s="27"/>
      <c r="F144" s="27"/>
      <c r="G144" s="27"/>
      <c r="H144" s="27"/>
      <c r="I144" s="27"/>
      <c r="J144" s="27"/>
      <c r="K144" s="27"/>
      <c r="L144" s="27"/>
      <c r="M144" s="27"/>
      <c r="N144" s="27"/>
      <c r="O144" s="27"/>
      <c r="P144" s="27"/>
      <c r="Q144" s="27"/>
      <c r="R144" s="27"/>
      <c r="S144" s="27"/>
      <c r="T144" s="27"/>
      <c r="U144" s="27"/>
      <c r="V144" s="27"/>
      <c r="W144" s="27"/>
      <c r="X144" s="27"/>
      <c r="Y144" s="27"/>
      <c r="Z144" s="27"/>
      <c r="AA144" s="27"/>
      <c r="AB144" s="27"/>
      <c r="AC144" s="27"/>
      <c r="AD144" s="27"/>
      <c r="AE144" s="27"/>
      <c r="AF144" s="27"/>
      <c r="AG144" s="27"/>
      <c r="AH144" s="27"/>
      <c r="AI144" s="27"/>
      <c r="AJ144" s="27"/>
      <c r="AK144" s="27"/>
      <c r="AL144" s="27"/>
      <c r="AM144" s="27"/>
      <c r="AN144" s="27"/>
      <c r="AO144" s="27"/>
      <c r="AP144" s="27"/>
      <c r="AQ144" s="27"/>
      <c r="AR144" s="27"/>
      <c r="AS144" s="27"/>
      <c r="AT144" s="27"/>
      <c r="AU144" s="27"/>
      <c r="AV144" s="27"/>
      <c r="AW144" s="27"/>
      <c r="AX144" s="27"/>
      <c r="AY144" s="27"/>
      <c r="AZ144" s="27"/>
      <c r="BA144" s="27"/>
      <c r="BB144" s="27"/>
      <c r="BC144" s="27"/>
      <c r="BD144" s="27"/>
      <c r="BE144" s="27"/>
      <c r="BF144" s="27"/>
      <c r="BG144" s="27"/>
      <c r="BH144" s="27"/>
      <c r="BI144" s="27"/>
      <c r="BJ144" s="27"/>
      <c r="BK144" s="27"/>
      <c r="BL144" s="27"/>
      <c r="BM144" s="27"/>
      <c r="BN144" s="27"/>
      <c r="BO144" s="27"/>
      <c r="BP144" s="27"/>
      <c r="BQ144" s="27"/>
      <c r="BR144" s="27"/>
      <c r="BS144" s="27"/>
      <c r="BT144" s="27"/>
      <c r="BU144" s="27"/>
      <c r="BV144" s="27"/>
      <c r="BW144" s="27"/>
      <c r="BX144" s="27"/>
      <c r="BY144" s="27"/>
      <c r="BZ144" s="27"/>
      <c r="CA144" s="27"/>
      <c r="CB144" s="27"/>
      <c r="CC144" s="27"/>
      <c r="CL144" s="24"/>
      <c r="CM144" s="24"/>
      <c r="CN144" s="24"/>
      <c r="CO144" s="24"/>
      <c r="CP144" s="24"/>
      <c r="CQ144" s="24"/>
      <c r="CR144" s="24"/>
      <c r="CS144" s="24"/>
      <c r="CT144" s="24"/>
      <c r="CU144" s="24"/>
      <c r="CV144" s="24"/>
      <c r="CW144" s="24"/>
      <c r="CX144" s="24"/>
      <c r="CY144" s="24"/>
      <c r="CZ144" s="24"/>
      <c r="DA144" s="24"/>
      <c r="DB144" s="24"/>
      <c r="DC144" s="24"/>
      <c r="DD144" s="24"/>
      <c r="DE144" s="24"/>
      <c r="DF144" s="24"/>
      <c r="EU144" s="24"/>
      <c r="EV144" s="24"/>
      <c r="EW144" s="24"/>
      <c r="EX144" s="24"/>
      <c r="EY144" s="24"/>
      <c r="EZ144" s="24"/>
      <c r="FA144" s="24"/>
      <c r="FB144" s="24"/>
      <c r="FC144" s="24"/>
      <c r="FD144" s="24"/>
      <c r="FE144" s="24"/>
      <c r="FF144" s="24"/>
    </row>
    <row r="145" spans="5:162" x14ac:dyDescent="0.3">
      <c r="E145" s="27"/>
      <c r="F145" s="27"/>
      <c r="G145" s="27"/>
      <c r="H145" s="27"/>
      <c r="I145" s="27"/>
      <c r="J145" s="27"/>
      <c r="K145" s="27"/>
      <c r="L145" s="27"/>
      <c r="M145" s="27"/>
      <c r="N145" s="27"/>
      <c r="O145" s="27"/>
      <c r="P145" s="27"/>
      <c r="Q145" s="27"/>
      <c r="R145" s="27"/>
      <c r="S145" s="27"/>
      <c r="T145" s="27"/>
      <c r="U145" s="27"/>
      <c r="V145" s="27"/>
      <c r="W145" s="27"/>
      <c r="X145" s="27"/>
      <c r="Y145" s="27"/>
      <c r="Z145" s="27"/>
      <c r="AA145" s="27"/>
      <c r="AB145" s="27"/>
      <c r="AC145" s="27"/>
      <c r="AD145" s="27"/>
      <c r="AE145" s="27"/>
      <c r="AF145" s="27"/>
      <c r="AG145" s="27"/>
      <c r="AH145" s="27"/>
      <c r="AI145" s="27"/>
      <c r="AJ145" s="27"/>
      <c r="AK145" s="27"/>
      <c r="AL145" s="27"/>
      <c r="AM145" s="27"/>
      <c r="AN145" s="27"/>
      <c r="AO145" s="27"/>
      <c r="AP145" s="27"/>
      <c r="AQ145" s="27"/>
      <c r="AR145" s="27"/>
      <c r="AS145" s="27"/>
      <c r="AT145" s="27"/>
      <c r="AU145" s="27"/>
      <c r="AV145" s="27"/>
      <c r="AW145" s="27"/>
      <c r="AX145" s="27"/>
      <c r="AY145" s="27"/>
      <c r="AZ145" s="27"/>
      <c r="BA145" s="27"/>
      <c r="BB145" s="27"/>
      <c r="BC145" s="27"/>
      <c r="BD145" s="27"/>
      <c r="BE145" s="27"/>
      <c r="BF145" s="27"/>
      <c r="BG145" s="27"/>
      <c r="BH145" s="27"/>
      <c r="BI145" s="27"/>
      <c r="BJ145" s="27"/>
      <c r="BK145" s="27"/>
      <c r="BL145" s="27"/>
      <c r="BM145" s="27"/>
      <c r="BN145" s="27"/>
      <c r="BO145" s="27"/>
      <c r="BP145" s="27"/>
      <c r="BQ145" s="27"/>
      <c r="BR145" s="27"/>
      <c r="BS145" s="27"/>
      <c r="BT145" s="27"/>
      <c r="BU145" s="27"/>
      <c r="BV145" s="27"/>
      <c r="BW145" s="27"/>
      <c r="BX145" s="27"/>
      <c r="BY145" s="27"/>
      <c r="BZ145" s="27"/>
      <c r="CA145" s="27"/>
      <c r="CB145" s="27"/>
      <c r="CC145" s="27"/>
      <c r="CL145" s="24"/>
      <c r="CM145" s="24"/>
      <c r="CN145" s="24"/>
      <c r="CO145" s="24"/>
      <c r="CP145" s="24"/>
      <c r="CQ145" s="24"/>
      <c r="CR145" s="24"/>
      <c r="CS145" s="24"/>
      <c r="CT145" s="24"/>
      <c r="CU145" s="24"/>
      <c r="CV145" s="24"/>
      <c r="CW145" s="24"/>
      <c r="CX145" s="24"/>
      <c r="CY145" s="24"/>
      <c r="CZ145" s="24"/>
      <c r="DA145" s="24"/>
      <c r="DB145" s="24"/>
      <c r="DC145" s="24"/>
      <c r="DD145" s="24"/>
      <c r="DE145" s="24"/>
      <c r="DF145" s="24"/>
      <c r="EU145" s="24"/>
      <c r="EV145" s="24"/>
      <c r="EW145" s="24"/>
      <c r="EX145" s="24"/>
      <c r="EY145" s="24"/>
      <c r="EZ145" s="24"/>
      <c r="FA145" s="24"/>
      <c r="FB145" s="24"/>
      <c r="FC145" s="24"/>
      <c r="FD145" s="24"/>
      <c r="FE145" s="24"/>
      <c r="FF145" s="24"/>
    </row>
    <row r="146" spans="5:162" x14ac:dyDescent="0.3">
      <c r="E146" s="27"/>
      <c r="F146" s="27"/>
      <c r="G146" s="27"/>
      <c r="H146" s="27"/>
      <c r="I146" s="27"/>
      <c r="J146" s="27"/>
      <c r="K146" s="27"/>
      <c r="L146" s="27"/>
      <c r="M146" s="27"/>
      <c r="N146" s="27"/>
      <c r="O146" s="27"/>
      <c r="P146" s="27"/>
      <c r="Q146" s="27"/>
      <c r="R146" s="27"/>
      <c r="S146" s="27"/>
      <c r="T146" s="27"/>
      <c r="U146" s="27"/>
      <c r="V146" s="27"/>
      <c r="W146" s="27"/>
      <c r="X146" s="27"/>
      <c r="Y146" s="27"/>
      <c r="Z146" s="27"/>
      <c r="AA146" s="27"/>
      <c r="AB146" s="27"/>
      <c r="AC146" s="27"/>
      <c r="AD146" s="27"/>
      <c r="AE146" s="27"/>
      <c r="AF146" s="27"/>
      <c r="AG146" s="27"/>
      <c r="AH146" s="27"/>
      <c r="AI146" s="27"/>
      <c r="AJ146" s="27"/>
      <c r="AK146" s="27"/>
      <c r="AL146" s="27"/>
      <c r="AM146" s="27"/>
      <c r="AN146" s="27"/>
      <c r="AO146" s="27"/>
      <c r="AP146" s="27"/>
      <c r="AQ146" s="27"/>
      <c r="AR146" s="27"/>
      <c r="AS146" s="27"/>
      <c r="AT146" s="27"/>
      <c r="AU146" s="27"/>
      <c r="AV146" s="27"/>
      <c r="AW146" s="27"/>
      <c r="AX146" s="27"/>
      <c r="AY146" s="27"/>
      <c r="AZ146" s="27"/>
      <c r="BA146" s="27"/>
      <c r="BB146" s="27"/>
      <c r="BC146" s="27"/>
      <c r="BD146" s="27"/>
      <c r="BE146" s="27"/>
      <c r="BF146" s="27"/>
      <c r="BG146" s="27"/>
      <c r="BH146" s="27"/>
      <c r="BI146" s="27"/>
      <c r="BJ146" s="27"/>
      <c r="BK146" s="27"/>
      <c r="BL146" s="27"/>
      <c r="BM146" s="27"/>
      <c r="BN146" s="27"/>
      <c r="BO146" s="27"/>
      <c r="BP146" s="27"/>
      <c r="BQ146" s="27"/>
      <c r="BR146" s="27"/>
      <c r="BS146" s="27"/>
      <c r="BT146" s="27"/>
      <c r="BU146" s="27"/>
      <c r="BV146" s="27"/>
      <c r="BW146" s="27"/>
      <c r="BX146" s="27"/>
      <c r="BY146" s="27"/>
      <c r="BZ146" s="27"/>
      <c r="CA146" s="27"/>
      <c r="CB146" s="27"/>
      <c r="CC146" s="27"/>
      <c r="CL146" s="24"/>
      <c r="CM146" s="24"/>
      <c r="CN146" s="24"/>
      <c r="CO146" s="24"/>
      <c r="CP146" s="24"/>
      <c r="CQ146" s="24"/>
      <c r="CR146" s="24"/>
      <c r="CS146" s="24"/>
      <c r="CT146" s="24"/>
      <c r="CU146" s="24"/>
      <c r="CV146" s="24"/>
      <c r="CW146" s="24"/>
      <c r="CX146" s="24"/>
      <c r="CY146" s="24"/>
      <c r="CZ146" s="24"/>
      <c r="DA146" s="24"/>
      <c r="DB146" s="24"/>
      <c r="DC146" s="24"/>
      <c r="DD146" s="24"/>
      <c r="DE146" s="24"/>
      <c r="DF146" s="24"/>
      <c r="EU146" s="24"/>
      <c r="EV146" s="24"/>
      <c r="EW146" s="24"/>
      <c r="EX146" s="24"/>
      <c r="EY146" s="24"/>
      <c r="EZ146" s="24"/>
      <c r="FA146" s="24"/>
      <c r="FB146" s="24"/>
      <c r="FC146" s="24"/>
      <c r="FD146" s="24"/>
      <c r="FE146" s="24"/>
      <c r="FF146" s="24"/>
    </row>
    <row r="147" spans="5:162" ht="36.6" x14ac:dyDescent="0.7">
      <c r="E147" s="27"/>
      <c r="F147" s="27"/>
      <c r="G147" s="27"/>
      <c r="H147" s="27"/>
      <c r="I147" s="27"/>
      <c r="J147" s="27"/>
      <c r="K147" s="27"/>
      <c r="L147" s="27"/>
      <c r="M147" s="27"/>
      <c r="N147" s="27"/>
      <c r="O147" s="27"/>
      <c r="P147" s="27"/>
      <c r="Q147" s="27"/>
      <c r="R147" s="27"/>
      <c r="S147" s="27"/>
      <c r="T147" s="27"/>
      <c r="U147" s="27"/>
      <c r="V147" s="27"/>
      <c r="W147" s="27"/>
      <c r="X147" s="27"/>
      <c r="Y147" s="27"/>
      <c r="Z147" s="27"/>
      <c r="AA147" s="27"/>
      <c r="AB147" s="27"/>
      <c r="AC147" s="27"/>
      <c r="AD147" s="27"/>
      <c r="AE147" s="27"/>
      <c r="AF147" s="27"/>
      <c r="AG147" s="27"/>
      <c r="AH147" s="27"/>
      <c r="AI147" s="27"/>
      <c r="AJ147" s="27"/>
      <c r="AK147" s="27"/>
      <c r="AL147" s="27"/>
      <c r="AM147" s="27"/>
      <c r="AN147" s="27"/>
      <c r="AO147" s="27"/>
      <c r="AP147" s="27"/>
      <c r="AQ147" s="27"/>
      <c r="AR147" s="27"/>
      <c r="AS147" s="27"/>
      <c r="AT147" s="27"/>
      <c r="AU147" s="27"/>
      <c r="AV147" s="27"/>
      <c r="AW147" s="27"/>
      <c r="AX147" s="27"/>
      <c r="AY147" s="27"/>
      <c r="AZ147" s="27"/>
      <c r="BA147" s="27"/>
      <c r="BB147" s="27"/>
      <c r="BC147" s="27"/>
      <c r="BD147" s="27"/>
      <c r="BE147" s="27"/>
      <c r="BF147" s="27"/>
      <c r="BG147" s="27"/>
      <c r="BH147" s="27"/>
      <c r="BI147" s="27"/>
      <c r="BJ147" s="27"/>
      <c r="BK147" s="27"/>
      <c r="BL147" s="27"/>
      <c r="BM147" s="27"/>
      <c r="BN147" s="27"/>
      <c r="BO147" s="27"/>
      <c r="BP147" s="27"/>
      <c r="BQ147" s="27"/>
      <c r="BR147" s="27"/>
      <c r="BS147" s="27"/>
      <c r="BT147" s="27"/>
      <c r="BU147" s="27"/>
      <c r="BV147" s="27"/>
      <c r="BW147" s="27"/>
      <c r="BX147" s="27"/>
      <c r="BY147" s="27"/>
      <c r="BZ147" s="27"/>
      <c r="CA147" s="27"/>
      <c r="CB147" s="27"/>
      <c r="CC147" s="27"/>
      <c r="CL147" s="24"/>
      <c r="CM147" s="24"/>
      <c r="CN147" s="24"/>
      <c r="CO147" s="24"/>
      <c r="CP147" s="24"/>
      <c r="CQ147" s="24"/>
      <c r="CR147" s="24"/>
      <c r="CS147" s="24"/>
      <c r="CT147" s="24"/>
      <c r="CU147" s="24"/>
      <c r="CV147" s="24"/>
      <c r="CW147" s="24"/>
      <c r="CX147" s="24"/>
      <c r="CY147" s="24"/>
      <c r="CZ147" s="24"/>
      <c r="DA147" s="24"/>
      <c r="DB147" s="24"/>
      <c r="DC147" s="24"/>
      <c r="DD147" s="24"/>
      <c r="DE147" s="24"/>
      <c r="DF147" s="24"/>
      <c r="EU147" s="24"/>
      <c r="EV147" s="24"/>
      <c r="EW147" s="25"/>
      <c r="EX147" s="24"/>
      <c r="EY147" s="24"/>
      <c r="EZ147" s="24"/>
      <c r="FA147" s="24"/>
      <c r="FB147" s="24"/>
      <c r="FC147" s="24"/>
      <c r="FD147" s="24"/>
      <c r="FE147" s="24"/>
      <c r="FF147" s="24"/>
    </row>
    <row r="148" spans="5:162" x14ac:dyDescent="0.3">
      <c r="E148" s="27"/>
      <c r="F148" s="27"/>
      <c r="G148" s="27"/>
      <c r="H148" s="27"/>
      <c r="I148" s="27"/>
      <c r="J148" s="27"/>
      <c r="K148" s="27"/>
      <c r="L148" s="27"/>
      <c r="M148" s="27"/>
      <c r="N148" s="27"/>
      <c r="O148" s="27"/>
      <c r="P148" s="27"/>
      <c r="Q148" s="27"/>
      <c r="R148" s="27"/>
      <c r="S148" s="27"/>
      <c r="T148" s="27"/>
      <c r="U148" s="27"/>
      <c r="V148" s="27"/>
      <c r="W148" s="27"/>
      <c r="X148" s="27"/>
      <c r="Y148" s="27"/>
      <c r="Z148" s="27"/>
      <c r="AA148" s="27"/>
      <c r="AB148" s="27"/>
      <c r="AC148" s="27"/>
      <c r="AD148" s="27"/>
      <c r="AE148" s="27"/>
      <c r="AF148" s="27"/>
      <c r="AG148" s="27"/>
      <c r="AH148" s="27"/>
      <c r="AI148" s="27"/>
      <c r="AJ148" s="27"/>
      <c r="AK148" s="27"/>
      <c r="AL148" s="27"/>
      <c r="AM148" s="27"/>
      <c r="AN148" s="27"/>
      <c r="AO148" s="27"/>
      <c r="AP148" s="27"/>
      <c r="AQ148" s="27"/>
      <c r="AR148" s="27"/>
      <c r="AS148" s="27"/>
      <c r="AT148" s="27"/>
      <c r="AU148" s="27"/>
      <c r="AV148" s="27"/>
      <c r="AW148" s="27"/>
      <c r="AX148" s="27"/>
      <c r="AY148" s="27"/>
      <c r="AZ148" s="27"/>
      <c r="BA148" s="27"/>
      <c r="BB148" s="27"/>
      <c r="BC148" s="27"/>
      <c r="BD148" s="27"/>
      <c r="BE148" s="27"/>
      <c r="BF148" s="27"/>
      <c r="BG148" s="27"/>
      <c r="BH148" s="27"/>
      <c r="BI148" s="27"/>
      <c r="BJ148" s="27"/>
      <c r="BK148" s="27"/>
      <c r="BL148" s="27"/>
      <c r="BM148" s="27"/>
      <c r="BN148" s="27"/>
      <c r="BO148" s="27"/>
      <c r="BP148" s="27"/>
      <c r="BQ148" s="27"/>
      <c r="BR148" s="27"/>
      <c r="BS148" s="27"/>
      <c r="BT148" s="27"/>
      <c r="BU148" s="27"/>
      <c r="BV148" s="27"/>
      <c r="BW148" s="27"/>
      <c r="BX148" s="27"/>
      <c r="BY148" s="27"/>
      <c r="BZ148" s="27"/>
      <c r="CA148" s="27"/>
      <c r="CB148" s="27"/>
      <c r="CC148" s="27"/>
      <c r="CL148" s="24"/>
      <c r="CM148" s="24"/>
      <c r="CN148" s="24"/>
      <c r="CO148" s="24"/>
      <c r="CP148" s="24"/>
      <c r="CQ148" s="24"/>
      <c r="CR148" s="24"/>
      <c r="CS148" s="24"/>
      <c r="CT148" s="24"/>
      <c r="CU148" s="24"/>
      <c r="CV148" s="24"/>
      <c r="CW148" s="24"/>
      <c r="CX148" s="24"/>
      <c r="CY148" s="24"/>
      <c r="CZ148" s="24"/>
      <c r="DA148" s="24"/>
      <c r="DB148" s="24"/>
      <c r="DC148" s="24"/>
      <c r="DD148" s="24"/>
      <c r="DE148" s="24"/>
      <c r="DF148" s="24"/>
      <c r="EU148" s="24"/>
      <c r="EV148" s="24"/>
      <c r="EW148" s="24"/>
      <c r="EX148" s="24"/>
      <c r="EY148" s="24"/>
      <c r="EZ148" s="24"/>
      <c r="FA148" s="24"/>
      <c r="FB148" s="24"/>
      <c r="FC148" s="24"/>
      <c r="FD148" s="24"/>
      <c r="FE148" s="24"/>
      <c r="FF148" s="24"/>
    </row>
    <row r="149" spans="5:162" x14ac:dyDescent="0.3">
      <c r="E149" s="27"/>
      <c r="F149" s="27"/>
      <c r="G149" s="27"/>
      <c r="H149" s="27"/>
      <c r="I149" s="27"/>
      <c r="J149" s="27"/>
      <c r="K149" s="27"/>
      <c r="L149" s="27"/>
      <c r="M149" s="27"/>
      <c r="N149" s="27"/>
      <c r="O149" s="27"/>
      <c r="P149" s="27"/>
      <c r="Q149" s="27"/>
      <c r="R149" s="27"/>
      <c r="S149" s="27"/>
      <c r="T149" s="27"/>
      <c r="U149" s="27"/>
      <c r="V149" s="27"/>
      <c r="W149" s="27"/>
      <c r="X149" s="27"/>
      <c r="Y149" s="27"/>
      <c r="Z149" s="27"/>
      <c r="AA149" s="27"/>
      <c r="AB149" s="27"/>
      <c r="AC149" s="27"/>
      <c r="AD149" s="27"/>
      <c r="AE149" s="27"/>
      <c r="AF149" s="27"/>
      <c r="AG149" s="27"/>
      <c r="AH149" s="27"/>
      <c r="AI149" s="27"/>
      <c r="AJ149" s="27"/>
      <c r="AK149" s="27"/>
      <c r="AL149" s="27"/>
      <c r="AM149" s="27"/>
      <c r="AN149" s="27"/>
      <c r="AO149" s="27"/>
      <c r="AP149" s="27"/>
      <c r="AQ149" s="27"/>
      <c r="AR149" s="27"/>
      <c r="AS149" s="27"/>
      <c r="AT149" s="27"/>
      <c r="AU149" s="27"/>
      <c r="AV149" s="27"/>
      <c r="AW149" s="27"/>
      <c r="AX149" s="27"/>
      <c r="AY149" s="27"/>
      <c r="AZ149" s="27"/>
      <c r="BA149" s="27"/>
      <c r="BB149" s="27"/>
      <c r="BC149" s="27"/>
      <c r="BD149" s="27"/>
      <c r="BE149" s="27"/>
      <c r="BF149" s="27"/>
      <c r="BG149" s="27"/>
      <c r="BH149" s="27"/>
      <c r="BI149" s="27"/>
      <c r="BJ149" s="27"/>
      <c r="BK149" s="27"/>
      <c r="BL149" s="27"/>
      <c r="BM149" s="27"/>
      <c r="BN149" s="27"/>
      <c r="BO149" s="27"/>
      <c r="BP149" s="27"/>
      <c r="BQ149" s="27"/>
      <c r="BR149" s="27"/>
      <c r="BS149" s="27"/>
      <c r="BT149" s="27"/>
      <c r="BU149" s="27"/>
      <c r="BV149" s="27"/>
      <c r="BW149" s="27"/>
      <c r="BX149" s="27"/>
      <c r="BY149" s="27"/>
      <c r="BZ149" s="27"/>
      <c r="CA149" s="27"/>
      <c r="CB149" s="27"/>
      <c r="CC149" s="27"/>
      <c r="CL149" s="24"/>
      <c r="CM149" s="24"/>
      <c r="CN149" s="24"/>
      <c r="CO149" s="24"/>
      <c r="CP149" s="24"/>
      <c r="CQ149" s="24"/>
      <c r="CR149" s="24"/>
      <c r="CS149" s="24"/>
      <c r="CT149" s="24"/>
      <c r="CU149" s="24"/>
      <c r="CV149" s="24"/>
      <c r="CW149" s="24"/>
      <c r="CX149" s="24"/>
      <c r="CY149" s="24"/>
      <c r="CZ149" s="24"/>
      <c r="DA149" s="24"/>
      <c r="DB149" s="24"/>
      <c r="DC149" s="24"/>
      <c r="DD149" s="24"/>
      <c r="DE149" s="24"/>
      <c r="DF149" s="24"/>
      <c r="EU149" s="24"/>
      <c r="EV149" s="24"/>
      <c r="EW149" s="24"/>
      <c r="EX149" s="24"/>
      <c r="EY149" s="24"/>
      <c r="EZ149" s="24"/>
      <c r="FA149" s="24"/>
      <c r="FB149" s="24"/>
      <c r="FC149" s="24"/>
      <c r="FD149" s="24"/>
      <c r="FE149" s="24"/>
      <c r="FF149" s="24"/>
    </row>
    <row r="150" spans="5:162" x14ac:dyDescent="0.3">
      <c r="E150" s="27"/>
      <c r="F150" s="27"/>
      <c r="G150" s="27"/>
      <c r="H150" s="27"/>
      <c r="I150" s="27"/>
      <c r="J150" s="27"/>
      <c r="K150" s="27"/>
      <c r="L150" s="27"/>
      <c r="M150" s="27"/>
      <c r="N150" s="27"/>
      <c r="O150" s="27"/>
      <c r="P150" s="27"/>
      <c r="Q150" s="27"/>
      <c r="R150" s="27"/>
      <c r="S150" s="27"/>
      <c r="T150" s="27"/>
      <c r="U150" s="27"/>
      <c r="V150" s="27"/>
      <c r="W150" s="27"/>
      <c r="X150" s="27"/>
      <c r="Y150" s="27"/>
      <c r="Z150" s="27"/>
      <c r="AA150" s="27"/>
      <c r="AB150" s="27"/>
      <c r="AC150" s="27"/>
      <c r="AD150" s="27"/>
      <c r="AE150" s="27"/>
      <c r="AF150" s="27"/>
      <c r="AG150" s="27"/>
      <c r="AH150" s="27"/>
      <c r="AI150" s="27"/>
      <c r="AJ150" s="27"/>
      <c r="AK150" s="27"/>
      <c r="AL150" s="27"/>
      <c r="AM150" s="27"/>
      <c r="AN150" s="27"/>
      <c r="AO150" s="27"/>
      <c r="AP150" s="27"/>
      <c r="AQ150" s="27"/>
      <c r="AR150" s="27"/>
      <c r="AS150" s="27"/>
      <c r="AT150" s="27"/>
      <c r="AU150" s="27"/>
      <c r="AV150" s="27"/>
      <c r="AW150" s="27"/>
      <c r="AX150" s="27"/>
      <c r="AY150" s="27"/>
      <c r="AZ150" s="27"/>
      <c r="BA150" s="27"/>
      <c r="BB150" s="27"/>
      <c r="BC150" s="27"/>
      <c r="BD150" s="27"/>
      <c r="BE150" s="27"/>
      <c r="BF150" s="27"/>
      <c r="BG150" s="27"/>
      <c r="BH150" s="27"/>
      <c r="BI150" s="27"/>
      <c r="BJ150" s="27"/>
      <c r="BK150" s="27"/>
      <c r="BL150" s="27"/>
      <c r="BM150" s="27"/>
      <c r="BN150" s="27"/>
      <c r="BO150" s="27"/>
      <c r="BP150" s="27"/>
      <c r="BQ150" s="27"/>
      <c r="BR150" s="27"/>
      <c r="BS150" s="27"/>
      <c r="BT150" s="27"/>
      <c r="BU150" s="27"/>
      <c r="BV150" s="27"/>
      <c r="BW150" s="27"/>
      <c r="BX150" s="27"/>
      <c r="BY150" s="27"/>
      <c r="BZ150" s="27"/>
      <c r="CA150" s="27"/>
      <c r="CB150" s="27"/>
      <c r="CC150" s="27"/>
      <c r="CL150" s="24"/>
      <c r="CM150" s="24"/>
      <c r="CN150" s="24"/>
      <c r="CO150" s="24"/>
      <c r="CP150" s="24"/>
      <c r="CQ150" s="24"/>
      <c r="CR150" s="24"/>
      <c r="CS150" s="24"/>
      <c r="CT150" s="24"/>
      <c r="CU150" s="24"/>
      <c r="CV150" s="24"/>
      <c r="CW150" s="24"/>
      <c r="CX150" s="24"/>
      <c r="CY150" s="24"/>
      <c r="CZ150" s="24"/>
      <c r="DA150" s="24"/>
      <c r="DB150" s="24"/>
      <c r="DC150" s="24"/>
      <c r="DD150" s="24"/>
      <c r="DE150" s="24"/>
      <c r="DF150" s="24"/>
      <c r="DH150" s="13"/>
      <c r="DI150" s="13"/>
      <c r="EU150" s="24"/>
      <c r="EV150" s="24"/>
      <c r="EW150" s="24"/>
      <c r="EX150" s="24"/>
      <c r="EY150" s="24"/>
      <c r="EZ150" s="24"/>
      <c r="FA150" s="24"/>
      <c r="FB150" s="24"/>
      <c r="FC150" s="24"/>
      <c r="FD150" s="24"/>
      <c r="FE150" s="24"/>
      <c r="FF150" s="24"/>
    </row>
    <row r="151" spans="5:162" x14ac:dyDescent="0.3">
      <c r="E151" s="27"/>
      <c r="F151" s="27"/>
      <c r="G151" s="27"/>
      <c r="H151" s="27"/>
      <c r="I151" s="27"/>
      <c r="J151" s="27"/>
      <c r="K151" s="27"/>
      <c r="L151" s="27"/>
      <c r="M151" s="27"/>
      <c r="N151" s="27"/>
      <c r="O151" s="27"/>
      <c r="P151" s="27"/>
      <c r="Q151" s="27"/>
      <c r="R151" s="27"/>
      <c r="S151" s="27"/>
      <c r="T151" s="27"/>
      <c r="U151" s="27"/>
      <c r="V151" s="27"/>
      <c r="W151" s="27"/>
      <c r="X151" s="27"/>
      <c r="Y151" s="27"/>
      <c r="Z151" s="27"/>
      <c r="AA151" s="27"/>
      <c r="AB151" s="27"/>
      <c r="AC151" s="27"/>
      <c r="AD151" s="27"/>
      <c r="AE151" s="27"/>
      <c r="AF151" s="27"/>
      <c r="AG151" s="27"/>
      <c r="AH151" s="27"/>
      <c r="AI151" s="27"/>
      <c r="AJ151" s="27"/>
      <c r="AK151" s="27"/>
      <c r="AL151" s="27"/>
      <c r="AM151" s="27"/>
      <c r="AN151" s="27"/>
      <c r="AO151" s="27"/>
      <c r="AP151" s="27"/>
      <c r="AQ151" s="27"/>
      <c r="AR151" s="27"/>
      <c r="AS151" s="27"/>
      <c r="AT151" s="27"/>
      <c r="AU151" s="27"/>
      <c r="AV151" s="27"/>
      <c r="AW151" s="27"/>
      <c r="AX151" s="27"/>
      <c r="AY151" s="27"/>
      <c r="AZ151" s="27"/>
      <c r="BA151" s="27"/>
      <c r="BB151" s="27"/>
      <c r="BC151" s="27"/>
      <c r="BD151" s="27"/>
      <c r="BE151" s="27"/>
      <c r="BF151" s="27"/>
      <c r="BG151" s="27"/>
      <c r="BH151" s="27"/>
      <c r="BI151" s="27"/>
      <c r="BJ151" s="27"/>
      <c r="BK151" s="27"/>
      <c r="BL151" s="27"/>
      <c r="BM151" s="27"/>
      <c r="BN151" s="27"/>
      <c r="BO151" s="27"/>
      <c r="BP151" s="27"/>
      <c r="BQ151" s="27"/>
      <c r="BR151" s="27"/>
      <c r="BS151" s="27"/>
      <c r="BT151" s="27"/>
      <c r="BU151" s="27"/>
      <c r="BV151" s="27"/>
      <c r="BW151" s="27"/>
      <c r="BX151" s="27"/>
      <c r="BY151" s="27"/>
      <c r="BZ151" s="27"/>
      <c r="CA151" s="27"/>
      <c r="CB151" s="27"/>
      <c r="CC151" s="27"/>
      <c r="CL151" s="24"/>
      <c r="CM151" s="24"/>
      <c r="CN151" s="24"/>
      <c r="CO151" s="24"/>
      <c r="CP151" s="24"/>
      <c r="CQ151" s="24"/>
      <c r="CR151" s="24"/>
      <c r="CS151" s="24"/>
      <c r="CT151" s="24"/>
      <c r="CU151" s="24"/>
      <c r="CV151" s="24"/>
      <c r="CW151" s="24"/>
      <c r="CX151" s="24"/>
      <c r="CY151" s="24"/>
      <c r="CZ151" s="24"/>
      <c r="DA151" s="24"/>
      <c r="DB151" s="24"/>
      <c r="DC151" s="24"/>
      <c r="DD151" s="24"/>
      <c r="DE151" s="24"/>
      <c r="DF151" s="24"/>
      <c r="EU151" s="24"/>
      <c r="EV151" s="24"/>
      <c r="EW151" s="24"/>
      <c r="EX151" s="24"/>
      <c r="EY151" s="24"/>
      <c r="EZ151" s="24"/>
      <c r="FA151" s="24"/>
      <c r="FB151" s="24"/>
      <c r="FC151" s="24"/>
      <c r="FD151" s="24"/>
      <c r="FE151" s="24"/>
      <c r="FF151" s="24"/>
    </row>
    <row r="152" spans="5:162" x14ac:dyDescent="0.3">
      <c r="E152" s="27"/>
      <c r="F152" s="27"/>
      <c r="G152" s="27"/>
      <c r="H152" s="27"/>
      <c r="I152" s="27"/>
      <c r="J152" s="27"/>
      <c r="K152" s="27"/>
      <c r="L152" s="27"/>
      <c r="M152" s="27"/>
      <c r="N152" s="27"/>
      <c r="O152" s="27"/>
      <c r="P152" s="27"/>
      <c r="Q152" s="27"/>
      <c r="R152" s="27"/>
      <c r="S152" s="27"/>
      <c r="T152" s="27"/>
      <c r="U152" s="27"/>
      <c r="V152" s="27"/>
      <c r="W152" s="27"/>
      <c r="X152" s="27"/>
      <c r="Y152" s="27"/>
      <c r="Z152" s="27"/>
      <c r="AA152" s="27"/>
      <c r="AB152" s="27"/>
      <c r="AC152" s="27"/>
      <c r="AD152" s="27"/>
      <c r="AE152" s="27"/>
      <c r="AF152" s="27"/>
      <c r="AG152" s="27"/>
      <c r="AH152" s="27"/>
      <c r="AI152" s="27"/>
      <c r="AJ152" s="27"/>
      <c r="AK152" s="27"/>
      <c r="AL152" s="27"/>
      <c r="AM152" s="27"/>
      <c r="AN152" s="27"/>
      <c r="AO152" s="27"/>
      <c r="AP152" s="27"/>
      <c r="AQ152" s="27"/>
      <c r="AR152" s="27"/>
      <c r="AS152" s="27"/>
      <c r="AT152" s="27"/>
      <c r="AU152" s="27"/>
      <c r="AV152" s="27"/>
      <c r="AW152" s="27"/>
      <c r="AX152" s="27"/>
      <c r="AY152" s="27"/>
      <c r="AZ152" s="27"/>
      <c r="BA152" s="27"/>
      <c r="BB152" s="27"/>
      <c r="BC152" s="27"/>
      <c r="BD152" s="27"/>
      <c r="BE152" s="27"/>
      <c r="BF152" s="27"/>
      <c r="BG152" s="27"/>
      <c r="BH152" s="27"/>
      <c r="BI152" s="27"/>
      <c r="BJ152" s="27"/>
      <c r="BK152" s="27"/>
      <c r="BL152" s="27"/>
      <c r="BM152" s="27"/>
      <c r="BN152" s="27"/>
      <c r="BO152" s="27"/>
      <c r="BP152" s="27"/>
      <c r="BQ152" s="27"/>
      <c r="BR152" s="27"/>
      <c r="BS152" s="27"/>
      <c r="BT152" s="27"/>
      <c r="BU152" s="27"/>
      <c r="BV152" s="27"/>
      <c r="BW152" s="27"/>
      <c r="BX152" s="27"/>
      <c r="BY152" s="27"/>
      <c r="BZ152" s="27"/>
      <c r="CA152" s="27"/>
      <c r="CB152" s="27"/>
      <c r="CC152" s="27"/>
      <c r="CL152" s="24"/>
      <c r="CM152" s="24"/>
      <c r="CN152" s="24"/>
      <c r="CO152" s="24"/>
      <c r="CP152" s="24"/>
      <c r="CQ152" s="24"/>
      <c r="CR152" s="24"/>
      <c r="CS152" s="24"/>
      <c r="CT152" s="24"/>
      <c r="CU152" s="24"/>
      <c r="CV152" s="24"/>
      <c r="CW152" s="24"/>
      <c r="CX152" s="24"/>
      <c r="CY152" s="24"/>
      <c r="CZ152" s="24"/>
      <c r="DA152" s="24"/>
      <c r="DB152" s="24"/>
      <c r="DC152" s="24"/>
      <c r="DD152" s="24"/>
      <c r="DE152" s="24"/>
      <c r="DF152" s="24"/>
      <c r="EU152" s="24"/>
      <c r="EV152" s="24"/>
      <c r="EW152" s="24"/>
      <c r="EX152" s="24"/>
      <c r="EY152" s="24"/>
      <c r="EZ152" s="24"/>
      <c r="FA152" s="24"/>
      <c r="FB152" s="24"/>
      <c r="FC152" s="24"/>
      <c r="FD152" s="24"/>
      <c r="FE152" s="24"/>
      <c r="FF152" s="24"/>
    </row>
    <row r="153" spans="5:162" x14ac:dyDescent="0.3">
      <c r="E153" s="27"/>
      <c r="F153" s="27"/>
      <c r="G153" s="27"/>
      <c r="H153" s="27"/>
      <c r="I153" s="27"/>
      <c r="J153" s="27"/>
      <c r="K153" s="27"/>
      <c r="L153" s="27"/>
      <c r="M153" s="27"/>
      <c r="N153" s="27"/>
      <c r="O153" s="27"/>
      <c r="P153" s="27"/>
      <c r="Q153" s="27"/>
      <c r="R153" s="27"/>
      <c r="S153" s="27"/>
      <c r="T153" s="27"/>
      <c r="U153" s="27"/>
      <c r="V153" s="27"/>
      <c r="W153" s="27"/>
      <c r="X153" s="27"/>
      <c r="Y153" s="27"/>
      <c r="Z153" s="27"/>
      <c r="AA153" s="27"/>
      <c r="AB153" s="27"/>
      <c r="AC153" s="27"/>
      <c r="AD153" s="27"/>
      <c r="AE153" s="27"/>
      <c r="AF153" s="27"/>
      <c r="AG153" s="27"/>
      <c r="AH153" s="27"/>
      <c r="AI153" s="27"/>
      <c r="AJ153" s="27"/>
      <c r="AK153" s="27"/>
      <c r="AL153" s="27"/>
      <c r="AM153" s="27"/>
      <c r="AN153" s="27"/>
      <c r="AO153" s="27"/>
      <c r="AP153" s="27"/>
      <c r="AQ153" s="27"/>
      <c r="AR153" s="27"/>
      <c r="AS153" s="27"/>
      <c r="AT153" s="27"/>
      <c r="AU153" s="27"/>
      <c r="AV153" s="27"/>
      <c r="AW153" s="27"/>
      <c r="AX153" s="27"/>
      <c r="AY153" s="27"/>
      <c r="AZ153" s="27"/>
      <c r="BA153" s="27"/>
      <c r="BB153" s="27"/>
      <c r="BC153" s="27"/>
      <c r="BD153" s="27"/>
      <c r="BE153" s="27"/>
      <c r="BF153" s="27"/>
      <c r="BG153" s="27"/>
      <c r="BH153" s="27"/>
      <c r="BI153" s="27"/>
      <c r="BJ153" s="27"/>
      <c r="BK153" s="27"/>
      <c r="BL153" s="27"/>
      <c r="BM153" s="27"/>
      <c r="BN153" s="27"/>
      <c r="BO153" s="27"/>
      <c r="BP153" s="27"/>
      <c r="BQ153" s="27"/>
      <c r="BR153" s="27"/>
      <c r="BS153" s="27"/>
      <c r="BT153" s="27"/>
      <c r="BU153" s="27"/>
      <c r="BV153" s="27"/>
      <c r="BW153" s="27"/>
      <c r="BX153" s="27"/>
      <c r="BY153" s="27"/>
      <c r="BZ153" s="27"/>
      <c r="CA153" s="27"/>
      <c r="CB153" s="27"/>
      <c r="CC153" s="27"/>
      <c r="CL153" s="24"/>
      <c r="CM153" s="24"/>
      <c r="CN153" s="24"/>
      <c r="CO153" s="24"/>
      <c r="CP153" s="24"/>
      <c r="CQ153" s="24"/>
      <c r="CR153" s="24"/>
      <c r="CS153" s="24"/>
      <c r="CT153" s="24"/>
      <c r="CU153" s="24"/>
      <c r="CV153" s="24"/>
      <c r="CW153" s="24"/>
      <c r="CX153" s="24"/>
      <c r="CY153" s="24"/>
      <c r="CZ153" s="24"/>
      <c r="DA153" s="24"/>
      <c r="DB153" s="24"/>
      <c r="DC153" s="24"/>
      <c r="DD153" s="24"/>
      <c r="DE153" s="24"/>
      <c r="DF153" s="24"/>
      <c r="EU153" s="24"/>
      <c r="EV153" s="24"/>
      <c r="EW153" s="24"/>
      <c r="EX153" s="24"/>
      <c r="EY153" s="24"/>
      <c r="EZ153" s="24"/>
      <c r="FA153" s="24"/>
      <c r="FB153" s="24"/>
      <c r="FC153" s="24"/>
      <c r="FD153" s="24"/>
      <c r="FE153" s="24"/>
      <c r="FF153" s="24"/>
    </row>
    <row r="154" spans="5:162" x14ac:dyDescent="0.3">
      <c r="E154" s="27"/>
      <c r="F154" s="27"/>
      <c r="G154" s="27"/>
      <c r="H154" s="27"/>
      <c r="I154" s="27"/>
      <c r="J154" s="27"/>
      <c r="K154" s="27"/>
      <c r="L154" s="27"/>
      <c r="M154" s="27"/>
      <c r="N154" s="27"/>
      <c r="O154" s="27"/>
      <c r="P154" s="27"/>
      <c r="Q154" s="27"/>
      <c r="R154" s="27"/>
      <c r="S154" s="27"/>
      <c r="T154" s="27"/>
      <c r="U154" s="27"/>
      <c r="V154" s="27"/>
      <c r="W154" s="27"/>
      <c r="X154" s="27"/>
      <c r="Y154" s="27"/>
      <c r="Z154" s="27"/>
      <c r="AA154" s="27"/>
      <c r="AB154" s="27"/>
      <c r="AC154" s="27"/>
      <c r="AD154" s="27"/>
      <c r="AE154" s="27"/>
      <c r="AF154" s="27"/>
      <c r="AG154" s="27"/>
      <c r="AH154" s="27"/>
      <c r="AI154" s="27"/>
      <c r="AJ154" s="27"/>
      <c r="AK154" s="27"/>
      <c r="AL154" s="27"/>
      <c r="AM154" s="27"/>
      <c r="AN154" s="27"/>
      <c r="AO154" s="27"/>
      <c r="AP154" s="27"/>
      <c r="AQ154" s="27"/>
      <c r="AR154" s="27"/>
      <c r="AS154" s="27"/>
      <c r="AT154" s="27"/>
      <c r="AU154" s="27"/>
      <c r="AV154" s="27"/>
      <c r="AW154" s="27"/>
      <c r="AX154" s="27"/>
      <c r="AY154" s="27"/>
      <c r="AZ154" s="27"/>
      <c r="BA154" s="27"/>
      <c r="BB154" s="27"/>
      <c r="BC154" s="27"/>
      <c r="BD154" s="27"/>
      <c r="BE154" s="27"/>
      <c r="BF154" s="27"/>
      <c r="BG154" s="27"/>
      <c r="BH154" s="27"/>
      <c r="BI154" s="27"/>
      <c r="BJ154" s="27"/>
      <c r="BK154" s="27"/>
      <c r="BL154" s="27"/>
      <c r="BM154" s="27"/>
      <c r="BN154" s="27"/>
      <c r="BO154" s="27"/>
      <c r="BP154" s="27"/>
      <c r="BQ154" s="27"/>
      <c r="BR154" s="27"/>
      <c r="BS154" s="27"/>
      <c r="BT154" s="27"/>
      <c r="BU154" s="27"/>
      <c r="BV154" s="27"/>
      <c r="BW154" s="27"/>
      <c r="BX154" s="27"/>
      <c r="BY154" s="27"/>
      <c r="BZ154" s="27"/>
      <c r="CA154" s="27"/>
      <c r="CB154" s="27"/>
      <c r="CC154" s="27"/>
      <c r="CL154" s="24"/>
      <c r="CM154" s="24"/>
      <c r="CN154" s="24"/>
      <c r="CO154" s="24"/>
      <c r="CP154" s="24"/>
      <c r="CQ154" s="24"/>
      <c r="CR154" s="24"/>
      <c r="CS154" s="24"/>
      <c r="CT154" s="24"/>
      <c r="CU154" s="24"/>
      <c r="CV154" s="24"/>
      <c r="CW154" s="24"/>
      <c r="CX154" s="24"/>
      <c r="CY154" s="24"/>
      <c r="CZ154" s="24"/>
      <c r="DA154" s="24"/>
      <c r="DB154" s="24"/>
      <c r="DC154" s="24"/>
      <c r="DD154" s="24"/>
      <c r="DE154" s="24"/>
      <c r="DF154" s="24"/>
      <c r="EU154" s="24"/>
      <c r="EV154" s="24"/>
      <c r="EW154" s="24"/>
      <c r="EX154" s="24"/>
      <c r="EY154" s="24"/>
      <c r="EZ154" s="24"/>
      <c r="FA154" s="24"/>
      <c r="FB154" s="24"/>
      <c r="FC154" s="24"/>
      <c r="FD154" s="24"/>
      <c r="FE154" s="24"/>
      <c r="FF154" s="24"/>
    </row>
    <row r="155" spans="5:162" x14ac:dyDescent="0.3">
      <c r="E155" s="27"/>
      <c r="F155" s="27"/>
      <c r="G155" s="27"/>
      <c r="H155" s="27"/>
      <c r="I155" s="27"/>
      <c r="J155" s="27"/>
      <c r="K155" s="27"/>
      <c r="L155" s="27"/>
      <c r="M155" s="27"/>
      <c r="N155" s="27"/>
      <c r="O155" s="27"/>
      <c r="P155" s="27"/>
      <c r="Q155" s="27"/>
      <c r="R155" s="27"/>
      <c r="S155" s="27"/>
      <c r="T155" s="27"/>
      <c r="U155" s="27"/>
      <c r="V155" s="27"/>
      <c r="W155" s="27"/>
      <c r="X155" s="27"/>
      <c r="Y155" s="27"/>
      <c r="Z155" s="27"/>
      <c r="AA155" s="27"/>
      <c r="AB155" s="27"/>
      <c r="AC155" s="27"/>
      <c r="AD155" s="27"/>
      <c r="AE155" s="27"/>
      <c r="AF155" s="27"/>
      <c r="AG155" s="27"/>
      <c r="AH155" s="27"/>
      <c r="AI155" s="27"/>
      <c r="AJ155" s="27"/>
      <c r="AK155" s="27"/>
      <c r="AL155" s="27"/>
      <c r="AM155" s="27"/>
      <c r="AN155" s="27"/>
      <c r="AO155" s="27"/>
      <c r="AP155" s="27"/>
      <c r="AQ155" s="27"/>
      <c r="AR155" s="27"/>
      <c r="AS155" s="27"/>
      <c r="AT155" s="27"/>
      <c r="AU155" s="27"/>
      <c r="AV155" s="27"/>
      <c r="AW155" s="27"/>
      <c r="AX155" s="27"/>
      <c r="AY155" s="27"/>
      <c r="AZ155" s="27"/>
      <c r="BA155" s="27"/>
      <c r="BB155" s="27"/>
      <c r="BC155" s="27"/>
      <c r="BD155" s="27"/>
      <c r="BE155" s="27"/>
      <c r="BF155" s="27"/>
      <c r="BG155" s="27"/>
      <c r="BH155" s="27"/>
      <c r="BI155" s="27"/>
      <c r="BJ155" s="27"/>
      <c r="BK155" s="27"/>
      <c r="BL155" s="27"/>
      <c r="BM155" s="27"/>
      <c r="BN155" s="27"/>
      <c r="BO155" s="27"/>
      <c r="BP155" s="27"/>
      <c r="BQ155" s="27"/>
      <c r="BR155" s="27"/>
      <c r="BS155" s="27"/>
      <c r="BT155" s="27"/>
      <c r="BU155" s="27"/>
      <c r="BV155" s="27"/>
      <c r="BW155" s="27"/>
      <c r="BX155" s="27"/>
      <c r="BY155" s="27"/>
      <c r="BZ155" s="27"/>
      <c r="CA155" s="27"/>
      <c r="CB155" s="27"/>
      <c r="CC155" s="27"/>
      <c r="CL155" s="24"/>
      <c r="CM155" s="24"/>
      <c r="CN155" s="24"/>
      <c r="CO155" s="24"/>
      <c r="CP155" s="24"/>
      <c r="CQ155" s="24"/>
      <c r="CR155" s="24"/>
      <c r="CS155" s="24"/>
      <c r="CT155" s="24"/>
      <c r="CU155" s="24"/>
      <c r="CV155" s="24"/>
      <c r="CW155" s="24"/>
      <c r="CX155" s="24"/>
      <c r="CY155" s="24"/>
      <c r="CZ155" s="24"/>
      <c r="DA155" s="24"/>
      <c r="DB155" s="24"/>
      <c r="DC155" s="24"/>
      <c r="DD155" s="24"/>
      <c r="DE155" s="24"/>
      <c r="DF155" s="24"/>
      <c r="EU155" s="24"/>
      <c r="EV155" s="24"/>
      <c r="EW155" s="24"/>
      <c r="EX155" s="24"/>
      <c r="EY155" s="24"/>
      <c r="EZ155" s="24"/>
      <c r="FA155" s="24"/>
      <c r="FB155" s="24"/>
      <c r="FC155" s="24"/>
      <c r="FD155" s="24"/>
      <c r="FE155" s="24"/>
      <c r="FF155" s="24"/>
    </row>
    <row r="156" spans="5:162" x14ac:dyDescent="0.3">
      <c r="E156" s="27"/>
      <c r="F156" s="27"/>
      <c r="G156" s="27"/>
      <c r="H156" s="27"/>
      <c r="I156" s="27"/>
      <c r="J156" s="27"/>
      <c r="K156" s="27"/>
      <c r="L156" s="27"/>
      <c r="M156" s="27"/>
      <c r="N156" s="27"/>
      <c r="O156" s="27"/>
      <c r="P156" s="27"/>
      <c r="Q156" s="27"/>
      <c r="R156" s="27"/>
      <c r="S156" s="27"/>
      <c r="T156" s="27"/>
      <c r="U156" s="27"/>
      <c r="V156" s="27"/>
      <c r="W156" s="27"/>
      <c r="X156" s="27"/>
      <c r="Y156" s="27"/>
      <c r="Z156" s="27"/>
      <c r="AA156" s="27"/>
      <c r="AB156" s="27"/>
      <c r="AC156" s="27"/>
      <c r="AD156" s="27"/>
      <c r="AE156" s="27"/>
      <c r="AF156" s="27"/>
      <c r="AG156" s="27"/>
      <c r="AH156" s="27"/>
      <c r="AI156" s="27"/>
      <c r="AJ156" s="27"/>
      <c r="AK156" s="27"/>
      <c r="AL156" s="27"/>
      <c r="AM156" s="27"/>
      <c r="AN156" s="27"/>
      <c r="AO156" s="27"/>
      <c r="AP156" s="27"/>
      <c r="AQ156" s="27"/>
      <c r="AR156" s="27"/>
      <c r="AS156" s="27"/>
      <c r="AT156" s="27"/>
      <c r="AU156" s="27"/>
      <c r="AV156" s="27"/>
      <c r="AW156" s="27"/>
      <c r="AX156" s="27"/>
      <c r="AY156" s="27"/>
      <c r="AZ156" s="27"/>
      <c r="BA156" s="27"/>
      <c r="BB156" s="27"/>
      <c r="BC156" s="27"/>
      <c r="BD156" s="27"/>
      <c r="BE156" s="27"/>
      <c r="BF156" s="27"/>
      <c r="BG156" s="27"/>
      <c r="BH156" s="27"/>
      <c r="BI156" s="27"/>
      <c r="BJ156" s="27"/>
      <c r="BK156" s="27"/>
      <c r="BL156" s="27"/>
      <c r="BM156" s="27"/>
      <c r="BN156" s="27"/>
      <c r="BO156" s="27"/>
      <c r="BP156" s="27"/>
      <c r="BQ156" s="27"/>
      <c r="BR156" s="27"/>
      <c r="BS156" s="27"/>
      <c r="BT156" s="27"/>
      <c r="BU156" s="27"/>
      <c r="BV156" s="27"/>
      <c r="BW156" s="27"/>
      <c r="BX156" s="27"/>
      <c r="BY156" s="27"/>
      <c r="BZ156" s="27"/>
      <c r="CA156" s="27"/>
      <c r="CB156" s="27"/>
      <c r="CC156" s="27"/>
      <c r="CL156" s="24"/>
      <c r="CM156" s="24"/>
      <c r="CN156" s="24"/>
      <c r="CO156" s="24"/>
      <c r="CP156" s="24"/>
      <c r="CQ156" s="24"/>
      <c r="CR156" s="24"/>
      <c r="CS156" s="24"/>
      <c r="CT156" s="24"/>
      <c r="CU156" s="24"/>
      <c r="CV156" s="24"/>
      <c r="CW156" s="24"/>
      <c r="CX156" s="24"/>
      <c r="CY156" s="24"/>
      <c r="CZ156" s="24"/>
      <c r="DA156" s="24"/>
      <c r="DB156" s="24"/>
      <c r="DC156" s="24"/>
      <c r="DD156" s="24"/>
      <c r="DE156" s="24"/>
      <c r="DF156" s="24"/>
      <c r="EU156" s="24"/>
      <c r="EV156" s="24"/>
      <c r="EW156" s="24"/>
      <c r="EX156" s="24"/>
      <c r="EY156" s="24"/>
      <c r="EZ156" s="24"/>
      <c r="FA156" s="24"/>
      <c r="FB156" s="24"/>
      <c r="FC156" s="24"/>
      <c r="FD156" s="24"/>
      <c r="FE156" s="24"/>
      <c r="FF156" s="24"/>
    </row>
    <row r="157" spans="5:162" x14ac:dyDescent="0.3">
      <c r="E157" s="27"/>
      <c r="F157" s="27"/>
      <c r="G157" s="27"/>
      <c r="H157" s="27"/>
      <c r="I157" s="27"/>
      <c r="J157" s="27"/>
      <c r="K157" s="27"/>
      <c r="L157" s="27"/>
      <c r="M157" s="27"/>
      <c r="N157" s="27"/>
      <c r="O157" s="27"/>
      <c r="P157" s="27"/>
      <c r="Q157" s="27"/>
      <c r="R157" s="27"/>
      <c r="S157" s="27"/>
      <c r="T157" s="27"/>
      <c r="U157" s="27"/>
      <c r="V157" s="27"/>
      <c r="W157" s="27"/>
      <c r="X157" s="27"/>
      <c r="Y157" s="27"/>
      <c r="Z157" s="27"/>
      <c r="AA157" s="27"/>
      <c r="AB157" s="27"/>
      <c r="AC157" s="27"/>
      <c r="AD157" s="27"/>
      <c r="AE157" s="27"/>
      <c r="AF157" s="27"/>
      <c r="AG157" s="27"/>
      <c r="AH157" s="27"/>
      <c r="AI157" s="27"/>
      <c r="AJ157" s="27"/>
      <c r="AK157" s="27"/>
      <c r="AL157" s="27"/>
      <c r="AM157" s="27"/>
      <c r="AN157" s="27"/>
      <c r="AO157" s="27"/>
      <c r="AP157" s="27"/>
      <c r="AQ157" s="27"/>
      <c r="AR157" s="27"/>
      <c r="AS157" s="27"/>
      <c r="AT157" s="27"/>
      <c r="AU157" s="27"/>
      <c r="AV157" s="27"/>
      <c r="AW157" s="27"/>
      <c r="AX157" s="27"/>
      <c r="AY157" s="27"/>
      <c r="AZ157" s="27"/>
      <c r="BA157" s="27"/>
      <c r="BB157" s="27"/>
      <c r="BC157" s="27"/>
      <c r="BD157" s="27"/>
      <c r="BE157" s="27"/>
      <c r="BF157" s="27"/>
      <c r="BG157" s="27"/>
      <c r="BH157" s="27"/>
      <c r="BI157" s="27"/>
      <c r="BJ157" s="27"/>
      <c r="BK157" s="27"/>
      <c r="BL157" s="27"/>
      <c r="BM157" s="27"/>
      <c r="BN157" s="27"/>
      <c r="BO157" s="27"/>
      <c r="BP157" s="27"/>
      <c r="BQ157" s="27"/>
      <c r="BR157" s="27"/>
      <c r="BS157" s="27"/>
      <c r="BT157" s="27"/>
      <c r="BU157" s="27"/>
      <c r="BV157" s="27"/>
      <c r="BW157" s="27"/>
      <c r="BX157" s="27"/>
      <c r="BY157" s="27"/>
      <c r="BZ157" s="27"/>
      <c r="CA157" s="27"/>
      <c r="CB157" s="27"/>
      <c r="CC157" s="27"/>
      <c r="CL157" s="24"/>
      <c r="CM157" s="24"/>
      <c r="CN157" s="24"/>
      <c r="CO157" s="24"/>
      <c r="CP157" s="24"/>
      <c r="CQ157" s="24"/>
      <c r="CR157" s="24"/>
      <c r="CS157" s="24"/>
      <c r="CT157" s="24"/>
      <c r="CU157" s="24"/>
      <c r="CV157" s="24"/>
      <c r="CW157" s="24"/>
      <c r="CX157" s="24"/>
      <c r="CY157" s="24"/>
      <c r="CZ157" s="24"/>
      <c r="DA157" s="24"/>
      <c r="DB157" s="24"/>
      <c r="DC157" s="24"/>
      <c r="DD157" s="24"/>
      <c r="DE157" s="24"/>
      <c r="DF157" s="24"/>
      <c r="EU157" s="24"/>
      <c r="EV157" s="24"/>
      <c r="EW157" s="24"/>
      <c r="EX157" s="24"/>
      <c r="EY157" s="24"/>
      <c r="EZ157" s="24"/>
      <c r="FA157" s="24"/>
      <c r="FB157" s="24"/>
      <c r="FC157" s="24"/>
      <c r="FD157" s="24"/>
      <c r="FE157" s="24"/>
      <c r="FF157" s="24"/>
    </row>
    <row r="158" spans="5:162" x14ac:dyDescent="0.3">
      <c r="E158" s="27"/>
      <c r="F158" s="27"/>
      <c r="G158" s="27"/>
      <c r="H158" s="27"/>
      <c r="I158" s="27"/>
      <c r="J158" s="27"/>
      <c r="K158" s="27"/>
      <c r="L158" s="27"/>
      <c r="M158" s="27"/>
      <c r="N158" s="27"/>
      <c r="O158" s="27"/>
      <c r="P158" s="27"/>
      <c r="Q158" s="27"/>
      <c r="R158" s="27"/>
      <c r="S158" s="27"/>
      <c r="T158" s="27"/>
      <c r="U158" s="27"/>
      <c r="V158" s="27"/>
      <c r="W158" s="27"/>
      <c r="X158" s="27"/>
      <c r="Y158" s="27"/>
      <c r="Z158" s="27"/>
      <c r="AA158" s="27"/>
      <c r="AB158" s="27"/>
      <c r="AC158" s="27"/>
      <c r="AD158" s="27"/>
      <c r="AE158" s="27"/>
      <c r="AF158" s="27"/>
      <c r="AG158" s="27"/>
      <c r="AH158" s="27"/>
      <c r="AI158" s="27"/>
      <c r="AJ158" s="27"/>
      <c r="AK158" s="27"/>
      <c r="AL158" s="27"/>
      <c r="AM158" s="27"/>
      <c r="AN158" s="27"/>
      <c r="AO158" s="27"/>
      <c r="AP158" s="27"/>
      <c r="AQ158" s="27"/>
      <c r="AR158" s="27"/>
      <c r="AS158" s="27"/>
      <c r="AT158" s="27"/>
      <c r="AU158" s="27"/>
      <c r="AV158" s="27"/>
      <c r="AW158" s="27"/>
      <c r="AX158" s="27"/>
      <c r="AY158" s="27"/>
      <c r="AZ158" s="27"/>
      <c r="BA158" s="27"/>
      <c r="BB158" s="27"/>
      <c r="BC158" s="27"/>
      <c r="BD158" s="27"/>
      <c r="BE158" s="27"/>
      <c r="BF158" s="27"/>
      <c r="BG158" s="27"/>
      <c r="BH158" s="27"/>
      <c r="BI158" s="27"/>
      <c r="BJ158" s="27"/>
      <c r="BK158" s="27"/>
      <c r="BL158" s="27"/>
      <c r="BM158" s="27"/>
      <c r="BN158" s="27"/>
      <c r="BO158" s="27"/>
      <c r="BP158" s="27"/>
      <c r="BQ158" s="27"/>
      <c r="BR158" s="27"/>
      <c r="BS158" s="27"/>
      <c r="BT158" s="27"/>
      <c r="BU158" s="27"/>
      <c r="BV158" s="27"/>
      <c r="BW158" s="27"/>
      <c r="BX158" s="27"/>
      <c r="BY158" s="27"/>
      <c r="BZ158" s="27"/>
      <c r="CA158" s="27"/>
      <c r="CB158" s="27"/>
      <c r="CC158" s="27"/>
      <c r="CL158" s="24"/>
      <c r="CM158" s="24"/>
      <c r="CN158" s="24"/>
      <c r="CO158" s="24"/>
      <c r="CP158" s="24"/>
      <c r="CQ158" s="24"/>
      <c r="CR158" s="24"/>
      <c r="CS158" s="24"/>
      <c r="CT158" s="24"/>
      <c r="CU158" s="24"/>
      <c r="CV158" s="24"/>
      <c r="CW158" s="24"/>
      <c r="CX158" s="24"/>
      <c r="CY158" s="24"/>
      <c r="CZ158" s="24"/>
      <c r="DA158" s="24"/>
      <c r="DB158" s="24"/>
      <c r="DC158" s="24"/>
      <c r="DD158" s="24"/>
      <c r="DE158" s="24"/>
      <c r="DF158" s="24"/>
      <c r="EU158" s="24"/>
      <c r="EV158" s="24"/>
      <c r="EW158" s="24"/>
      <c r="EX158" s="24"/>
      <c r="EY158" s="24"/>
      <c r="EZ158" s="24"/>
      <c r="FA158" s="24"/>
      <c r="FB158" s="24"/>
      <c r="FC158" s="24"/>
      <c r="FD158" s="24"/>
      <c r="FE158" s="24"/>
      <c r="FF158" s="24"/>
    </row>
    <row r="159" spans="5:162" x14ac:dyDescent="0.3">
      <c r="E159" s="27"/>
      <c r="F159" s="27"/>
      <c r="G159" s="27"/>
      <c r="H159" s="27"/>
      <c r="I159" s="27"/>
      <c r="J159" s="27"/>
      <c r="K159" s="27"/>
      <c r="L159" s="27"/>
      <c r="M159" s="27"/>
      <c r="N159" s="27"/>
      <c r="O159" s="27"/>
      <c r="P159" s="27"/>
      <c r="Q159" s="27"/>
      <c r="R159" s="27"/>
      <c r="S159" s="27"/>
      <c r="T159" s="27"/>
      <c r="U159" s="27"/>
      <c r="V159" s="27"/>
      <c r="W159" s="27"/>
      <c r="X159" s="27"/>
      <c r="Y159" s="27"/>
      <c r="Z159" s="27"/>
      <c r="AA159" s="27"/>
      <c r="AB159" s="27"/>
      <c r="AC159" s="27"/>
      <c r="AD159" s="27"/>
      <c r="AE159" s="27"/>
      <c r="AF159" s="27"/>
      <c r="AG159" s="27"/>
      <c r="AH159" s="27"/>
      <c r="AI159" s="27"/>
      <c r="AJ159" s="27"/>
      <c r="AK159" s="27"/>
      <c r="AL159" s="27"/>
      <c r="AM159" s="27"/>
      <c r="AN159" s="27"/>
      <c r="AO159" s="27"/>
      <c r="AP159" s="27"/>
      <c r="AQ159" s="27"/>
      <c r="AR159" s="27"/>
      <c r="AS159" s="27"/>
      <c r="AT159" s="27"/>
      <c r="AU159" s="27"/>
      <c r="AV159" s="27"/>
      <c r="AW159" s="27"/>
      <c r="AX159" s="27"/>
      <c r="AY159" s="27"/>
      <c r="AZ159" s="27"/>
      <c r="BA159" s="27"/>
      <c r="BB159" s="27"/>
      <c r="BC159" s="27"/>
      <c r="BD159" s="27"/>
      <c r="BE159" s="27"/>
      <c r="BF159" s="27"/>
      <c r="BG159" s="27"/>
      <c r="BH159" s="27"/>
      <c r="BI159" s="27"/>
      <c r="BJ159" s="27"/>
      <c r="BK159" s="27"/>
      <c r="BL159" s="27"/>
      <c r="BM159" s="27"/>
      <c r="BN159" s="27"/>
      <c r="BO159" s="27"/>
      <c r="BP159" s="27"/>
      <c r="BQ159" s="27"/>
      <c r="BR159" s="27"/>
      <c r="BS159" s="27"/>
      <c r="BT159" s="27"/>
      <c r="BU159" s="27"/>
      <c r="BV159" s="27"/>
      <c r="BW159" s="27"/>
      <c r="BX159" s="27"/>
      <c r="BY159" s="27"/>
      <c r="BZ159" s="27"/>
      <c r="CA159" s="27"/>
      <c r="CB159" s="27"/>
      <c r="CC159" s="27"/>
      <c r="CL159" s="24"/>
      <c r="CM159" s="24"/>
      <c r="CN159" s="24"/>
      <c r="CO159" s="24"/>
      <c r="CP159" s="24"/>
      <c r="CQ159" s="24"/>
      <c r="CR159" s="24"/>
      <c r="CS159" s="24"/>
      <c r="CT159" s="24"/>
      <c r="CU159" s="24"/>
      <c r="CV159" s="24"/>
      <c r="CW159" s="24"/>
      <c r="CX159" s="24"/>
      <c r="CY159" s="24"/>
      <c r="CZ159" s="24"/>
      <c r="DA159" s="24"/>
      <c r="DB159" s="24"/>
      <c r="DC159" s="24"/>
      <c r="DD159" s="24"/>
      <c r="DE159" s="24"/>
      <c r="DF159" s="24"/>
      <c r="EU159" s="24"/>
      <c r="EV159" s="24"/>
      <c r="EW159" s="24"/>
      <c r="EX159" s="24"/>
      <c r="EY159" s="24"/>
      <c r="EZ159" s="24"/>
      <c r="FA159" s="24"/>
      <c r="FB159" s="24"/>
      <c r="FC159" s="24"/>
      <c r="FD159" s="24"/>
      <c r="FE159" s="24"/>
      <c r="FF159" s="24"/>
    </row>
    <row r="160" spans="5:162" x14ac:dyDescent="0.3">
      <c r="E160" s="27"/>
      <c r="F160" s="27"/>
      <c r="G160" s="27"/>
      <c r="H160" s="27"/>
      <c r="I160" s="27"/>
      <c r="J160" s="27"/>
      <c r="K160" s="27"/>
      <c r="L160" s="27"/>
      <c r="M160" s="27"/>
      <c r="N160" s="27"/>
      <c r="O160" s="27"/>
      <c r="P160" s="27"/>
      <c r="Q160" s="27"/>
      <c r="R160" s="27"/>
      <c r="S160" s="27"/>
      <c r="T160" s="27"/>
      <c r="U160" s="27"/>
      <c r="V160" s="27"/>
      <c r="W160" s="27"/>
      <c r="X160" s="27"/>
      <c r="Y160" s="27"/>
      <c r="Z160" s="27"/>
      <c r="AA160" s="27"/>
      <c r="AB160" s="27"/>
      <c r="AC160" s="27"/>
      <c r="AD160" s="27"/>
      <c r="AE160" s="27"/>
      <c r="AF160" s="27"/>
      <c r="AG160" s="27"/>
      <c r="AH160" s="27"/>
      <c r="AI160" s="27"/>
      <c r="AJ160" s="27"/>
      <c r="AK160" s="27"/>
      <c r="AL160" s="27"/>
      <c r="AM160" s="27"/>
      <c r="AN160" s="27"/>
      <c r="AO160" s="27"/>
      <c r="AP160" s="27"/>
      <c r="AQ160" s="27"/>
      <c r="AR160" s="27"/>
      <c r="AS160" s="27"/>
      <c r="AT160" s="27"/>
      <c r="AU160" s="27"/>
      <c r="AV160" s="27"/>
      <c r="AW160" s="27"/>
      <c r="AX160" s="27"/>
      <c r="AY160" s="27"/>
      <c r="AZ160" s="27"/>
      <c r="BA160" s="27"/>
      <c r="BB160" s="27"/>
      <c r="BC160" s="27"/>
      <c r="BD160" s="27"/>
      <c r="BE160" s="27"/>
      <c r="BF160" s="27"/>
      <c r="BG160" s="27"/>
      <c r="BH160" s="27"/>
      <c r="BI160" s="27"/>
      <c r="BJ160" s="27"/>
      <c r="BK160" s="27"/>
      <c r="BL160" s="27"/>
      <c r="BM160" s="27"/>
      <c r="BN160" s="27"/>
      <c r="BO160" s="27"/>
      <c r="BP160" s="27"/>
      <c r="BQ160" s="27"/>
      <c r="BR160" s="27"/>
      <c r="BS160" s="27"/>
      <c r="BT160" s="27"/>
      <c r="BU160" s="27"/>
      <c r="BV160" s="27"/>
      <c r="BW160" s="27"/>
      <c r="BX160" s="27"/>
      <c r="BY160" s="27"/>
      <c r="BZ160" s="27"/>
      <c r="CA160" s="27"/>
      <c r="CB160" s="27"/>
      <c r="CC160" s="27"/>
      <c r="CL160" s="24"/>
      <c r="CM160" s="24"/>
      <c r="CN160" s="24"/>
      <c r="CO160" s="24"/>
      <c r="CP160" s="24"/>
      <c r="CQ160" s="24"/>
      <c r="CR160" s="24"/>
      <c r="CS160" s="24"/>
      <c r="CT160" s="24"/>
      <c r="CU160" s="24"/>
      <c r="CV160" s="24"/>
      <c r="CW160" s="24"/>
      <c r="CX160" s="24"/>
      <c r="CY160" s="24"/>
      <c r="CZ160" s="24"/>
      <c r="DA160" s="24"/>
      <c r="DB160" s="24"/>
      <c r="DC160" s="24"/>
      <c r="DD160" s="24"/>
      <c r="DE160" s="24"/>
      <c r="DF160" s="24"/>
      <c r="EU160" s="24"/>
      <c r="EV160" s="24"/>
      <c r="EW160" s="24"/>
      <c r="EX160" s="24"/>
      <c r="EY160" s="24"/>
      <c r="EZ160" s="24"/>
      <c r="FA160" s="24"/>
      <c r="FB160" s="24"/>
      <c r="FC160" s="24"/>
      <c r="FD160" s="24"/>
      <c r="FE160" s="24"/>
      <c r="FF160" s="24"/>
    </row>
    <row r="161" spans="5:162" x14ac:dyDescent="0.3">
      <c r="E161" s="27"/>
      <c r="F161" s="27"/>
      <c r="G161" s="27"/>
      <c r="H161" s="27"/>
      <c r="I161" s="27"/>
      <c r="J161" s="27"/>
      <c r="K161" s="27"/>
      <c r="L161" s="27"/>
      <c r="M161" s="27"/>
      <c r="N161" s="27"/>
      <c r="O161" s="27"/>
      <c r="P161" s="27"/>
      <c r="Q161" s="27"/>
      <c r="R161" s="27"/>
      <c r="S161" s="27"/>
      <c r="T161" s="27"/>
      <c r="U161" s="27"/>
      <c r="V161" s="27"/>
      <c r="W161" s="27"/>
      <c r="X161" s="27"/>
      <c r="Y161" s="27"/>
      <c r="Z161" s="27"/>
      <c r="AA161" s="27"/>
      <c r="AB161" s="27"/>
      <c r="AC161" s="27"/>
      <c r="AD161" s="27"/>
      <c r="AE161" s="27"/>
      <c r="AF161" s="27"/>
      <c r="AG161" s="27"/>
      <c r="AH161" s="27"/>
      <c r="AI161" s="27"/>
      <c r="AJ161" s="27"/>
      <c r="AK161" s="27"/>
      <c r="AL161" s="27"/>
      <c r="AM161" s="27"/>
      <c r="AN161" s="27"/>
      <c r="AO161" s="27"/>
      <c r="AP161" s="27"/>
      <c r="AQ161" s="27"/>
      <c r="AR161" s="27"/>
      <c r="AS161" s="27"/>
      <c r="AT161" s="27"/>
      <c r="AU161" s="27"/>
      <c r="AV161" s="27"/>
      <c r="AW161" s="27"/>
      <c r="AX161" s="27"/>
      <c r="AY161" s="27"/>
      <c r="AZ161" s="27"/>
      <c r="BA161" s="27"/>
      <c r="BB161" s="27"/>
      <c r="BC161" s="27"/>
      <c r="BD161" s="27"/>
      <c r="BE161" s="27"/>
      <c r="BF161" s="27"/>
      <c r="BG161" s="27"/>
      <c r="BH161" s="27"/>
      <c r="BI161" s="27"/>
      <c r="BJ161" s="27"/>
      <c r="BK161" s="27"/>
      <c r="BL161" s="27"/>
      <c r="BM161" s="27"/>
      <c r="BN161" s="27"/>
      <c r="BO161" s="27"/>
      <c r="BP161" s="27"/>
      <c r="BQ161" s="27"/>
      <c r="BR161" s="27"/>
      <c r="BS161" s="27"/>
      <c r="BT161" s="27"/>
      <c r="BU161" s="27"/>
      <c r="BV161" s="27"/>
      <c r="BW161" s="27"/>
      <c r="BX161" s="27"/>
      <c r="BY161" s="27"/>
      <c r="BZ161" s="27"/>
      <c r="CA161" s="27"/>
      <c r="CB161" s="27"/>
      <c r="CC161" s="27"/>
      <c r="CL161" s="24"/>
      <c r="CM161" s="24"/>
      <c r="CN161" s="24"/>
      <c r="CO161" s="24"/>
      <c r="CP161" s="24"/>
      <c r="CQ161" s="24"/>
      <c r="CR161" s="24"/>
      <c r="CS161" s="24"/>
      <c r="CT161" s="24"/>
      <c r="CU161" s="24"/>
      <c r="CV161" s="24"/>
      <c r="CW161" s="24"/>
      <c r="CX161" s="24"/>
      <c r="CY161" s="24"/>
      <c r="CZ161" s="24"/>
      <c r="DA161" s="24"/>
      <c r="DB161" s="24"/>
      <c r="DC161" s="24"/>
      <c r="DD161" s="24"/>
      <c r="DE161" s="24"/>
      <c r="DF161" s="24"/>
      <c r="EU161" s="24"/>
      <c r="EV161" s="24"/>
      <c r="EW161" s="24"/>
      <c r="EX161" s="24"/>
      <c r="EY161" s="24"/>
      <c r="EZ161" s="24"/>
      <c r="FA161" s="24"/>
      <c r="FB161" s="24"/>
      <c r="FC161" s="24"/>
      <c r="FD161" s="24"/>
      <c r="FE161" s="24"/>
      <c r="FF161" s="24"/>
    </row>
    <row r="162" spans="5:162" x14ac:dyDescent="0.3">
      <c r="E162" s="27"/>
      <c r="F162" s="27"/>
      <c r="G162" s="27"/>
      <c r="H162" s="27"/>
      <c r="I162" s="27"/>
      <c r="J162" s="27"/>
      <c r="K162" s="27"/>
      <c r="L162" s="27"/>
      <c r="M162" s="27"/>
      <c r="N162" s="27"/>
      <c r="O162" s="27"/>
      <c r="P162" s="27"/>
      <c r="Q162" s="27"/>
      <c r="R162" s="27"/>
      <c r="S162" s="27"/>
      <c r="T162" s="27"/>
      <c r="U162" s="27"/>
      <c r="V162" s="27"/>
      <c r="W162" s="27"/>
      <c r="X162" s="27"/>
      <c r="Y162" s="27"/>
      <c r="Z162" s="27"/>
      <c r="AA162" s="27"/>
      <c r="AB162" s="27"/>
      <c r="AC162" s="27"/>
      <c r="AD162" s="27"/>
      <c r="AE162" s="27"/>
      <c r="AF162" s="27"/>
      <c r="AG162" s="27"/>
      <c r="AH162" s="27"/>
      <c r="AI162" s="27"/>
      <c r="AJ162" s="27"/>
      <c r="AK162" s="27"/>
      <c r="AL162" s="27"/>
      <c r="AM162" s="27"/>
      <c r="AN162" s="27"/>
      <c r="AO162" s="27"/>
      <c r="AP162" s="27"/>
      <c r="AQ162" s="27"/>
      <c r="AR162" s="27"/>
      <c r="AS162" s="27"/>
      <c r="AT162" s="27"/>
      <c r="AU162" s="27"/>
      <c r="AV162" s="27"/>
      <c r="AW162" s="27"/>
      <c r="AX162" s="27"/>
      <c r="AY162" s="27"/>
      <c r="AZ162" s="27"/>
      <c r="BA162" s="27"/>
      <c r="BB162" s="27"/>
      <c r="BC162" s="27"/>
      <c r="BD162" s="27"/>
      <c r="BE162" s="27"/>
      <c r="BF162" s="27"/>
      <c r="BG162" s="27"/>
      <c r="BH162" s="27"/>
      <c r="BI162" s="27"/>
      <c r="BJ162" s="27"/>
      <c r="BK162" s="27"/>
      <c r="BL162" s="27"/>
      <c r="BM162" s="27"/>
      <c r="BN162" s="27"/>
      <c r="BO162" s="27"/>
      <c r="BP162" s="27"/>
      <c r="BQ162" s="27"/>
      <c r="BR162" s="27"/>
      <c r="BS162" s="27"/>
      <c r="BT162" s="27"/>
      <c r="BU162" s="27"/>
      <c r="BV162" s="27"/>
      <c r="BW162" s="27"/>
      <c r="BX162" s="27"/>
      <c r="BY162" s="27"/>
      <c r="BZ162" s="27"/>
      <c r="CA162" s="27"/>
      <c r="CB162" s="27"/>
      <c r="CC162" s="27"/>
      <c r="CL162" s="24"/>
      <c r="CM162" s="24"/>
      <c r="CN162" s="24"/>
      <c r="CO162" s="24"/>
      <c r="CP162" s="24"/>
      <c r="CQ162" s="24"/>
      <c r="CR162" s="24"/>
      <c r="CS162" s="24"/>
      <c r="CT162" s="24"/>
      <c r="CU162" s="24"/>
      <c r="CV162" s="24"/>
      <c r="CW162" s="24"/>
      <c r="CX162" s="24"/>
      <c r="CY162" s="24"/>
      <c r="CZ162" s="24"/>
      <c r="DA162" s="24"/>
      <c r="DB162" s="24"/>
      <c r="DC162" s="24"/>
      <c r="DD162" s="24"/>
      <c r="DE162" s="24"/>
      <c r="DF162" s="24"/>
      <c r="EU162" s="24"/>
      <c r="EV162" s="24"/>
      <c r="EW162" s="24"/>
      <c r="EX162" s="24"/>
      <c r="EY162" s="24"/>
      <c r="EZ162" s="24"/>
      <c r="FA162" s="24"/>
      <c r="FB162" s="24"/>
      <c r="FC162" s="24"/>
      <c r="FD162" s="24"/>
      <c r="FE162" s="24"/>
      <c r="FF162" s="24"/>
    </row>
    <row r="163" spans="5:162" x14ac:dyDescent="0.3">
      <c r="E163" s="27"/>
      <c r="F163" s="27"/>
      <c r="G163" s="27"/>
      <c r="H163" s="27"/>
      <c r="I163" s="27"/>
      <c r="J163" s="27"/>
      <c r="K163" s="27"/>
      <c r="L163" s="27"/>
      <c r="M163" s="27"/>
      <c r="N163" s="27"/>
      <c r="O163" s="27"/>
      <c r="P163" s="27"/>
      <c r="Q163" s="27"/>
      <c r="R163" s="27"/>
      <c r="S163" s="27"/>
      <c r="T163" s="27"/>
      <c r="U163" s="27"/>
      <c r="V163" s="27"/>
      <c r="W163" s="27"/>
      <c r="X163" s="27"/>
      <c r="Y163" s="27"/>
      <c r="Z163" s="27"/>
      <c r="AA163" s="27"/>
      <c r="AB163" s="27"/>
      <c r="AC163" s="27"/>
      <c r="AD163" s="27"/>
      <c r="AE163" s="27"/>
      <c r="AF163" s="27"/>
      <c r="AG163" s="27"/>
      <c r="AH163" s="27"/>
      <c r="AI163" s="27"/>
      <c r="AJ163" s="27"/>
      <c r="AK163" s="27"/>
      <c r="AL163" s="27"/>
      <c r="AM163" s="27"/>
      <c r="AN163" s="27"/>
      <c r="AO163" s="27"/>
      <c r="AP163" s="27"/>
      <c r="AQ163" s="27"/>
      <c r="AR163" s="27"/>
      <c r="AS163" s="27"/>
      <c r="AT163" s="27"/>
      <c r="AU163" s="27"/>
      <c r="AV163" s="27"/>
      <c r="AW163" s="27"/>
      <c r="AX163" s="27"/>
      <c r="AY163" s="27"/>
      <c r="AZ163" s="27"/>
      <c r="BA163" s="27"/>
      <c r="BB163" s="27"/>
      <c r="BC163" s="27"/>
      <c r="BD163" s="27"/>
      <c r="BE163" s="27"/>
      <c r="BF163" s="27"/>
      <c r="BG163" s="27"/>
      <c r="BH163" s="27"/>
      <c r="BI163" s="27"/>
      <c r="BJ163" s="27"/>
      <c r="BK163" s="27"/>
      <c r="BL163" s="27"/>
      <c r="BM163" s="27"/>
      <c r="BN163" s="27"/>
      <c r="BO163" s="27"/>
      <c r="BP163" s="27"/>
      <c r="BQ163" s="27"/>
      <c r="BR163" s="27"/>
      <c r="BS163" s="27"/>
      <c r="BT163" s="27"/>
      <c r="BU163" s="27"/>
      <c r="BV163" s="27"/>
      <c r="BW163" s="27"/>
      <c r="BX163" s="27"/>
      <c r="BY163" s="27"/>
      <c r="BZ163" s="27"/>
      <c r="CA163" s="27"/>
      <c r="CB163" s="27"/>
      <c r="CC163" s="27"/>
      <c r="CL163" s="24"/>
      <c r="CM163" s="24"/>
      <c r="CN163" s="24"/>
      <c r="CO163" s="24"/>
      <c r="CP163" s="24"/>
      <c r="CQ163" s="24"/>
      <c r="CR163" s="24"/>
      <c r="CS163" s="24"/>
      <c r="CT163" s="24"/>
      <c r="CU163" s="24"/>
      <c r="CV163" s="24"/>
      <c r="CW163" s="24"/>
      <c r="CX163" s="24"/>
      <c r="CY163" s="24"/>
      <c r="CZ163" s="24"/>
      <c r="DA163" s="24"/>
      <c r="DB163" s="24"/>
      <c r="DC163" s="24"/>
      <c r="DD163" s="24"/>
      <c r="DE163" s="24"/>
      <c r="DF163" s="24"/>
      <c r="EU163" s="24"/>
      <c r="EV163" s="24"/>
      <c r="EW163" s="24"/>
      <c r="EX163" s="24"/>
      <c r="EY163" s="24"/>
      <c r="EZ163" s="24"/>
      <c r="FA163" s="24"/>
      <c r="FB163" s="24"/>
      <c r="FC163" s="24"/>
      <c r="FD163" s="24"/>
      <c r="FE163" s="24"/>
      <c r="FF163" s="24"/>
    </row>
    <row r="164" spans="5:162" x14ac:dyDescent="0.3">
      <c r="E164" s="27"/>
      <c r="F164" s="27"/>
      <c r="G164" s="27"/>
      <c r="H164" s="27"/>
      <c r="I164" s="27"/>
      <c r="J164" s="27"/>
      <c r="K164" s="27"/>
      <c r="L164" s="27"/>
      <c r="M164" s="27"/>
      <c r="N164" s="27"/>
      <c r="O164" s="27"/>
      <c r="P164" s="27"/>
      <c r="Q164" s="27"/>
      <c r="R164" s="27"/>
      <c r="S164" s="27"/>
      <c r="T164" s="27"/>
      <c r="U164" s="27"/>
      <c r="V164" s="27"/>
      <c r="W164" s="27"/>
      <c r="X164" s="27"/>
      <c r="Y164" s="27"/>
      <c r="Z164" s="27"/>
      <c r="AA164" s="27"/>
      <c r="AB164" s="27"/>
      <c r="AC164" s="27"/>
      <c r="AD164" s="27"/>
      <c r="AE164" s="27"/>
      <c r="AF164" s="27"/>
      <c r="AG164" s="27"/>
      <c r="AH164" s="27"/>
      <c r="AI164" s="27"/>
      <c r="AJ164" s="27"/>
      <c r="AK164" s="27"/>
      <c r="AL164" s="27"/>
      <c r="AM164" s="27"/>
      <c r="AN164" s="27"/>
      <c r="AO164" s="27"/>
      <c r="AP164" s="27"/>
      <c r="AQ164" s="27"/>
      <c r="AR164" s="27"/>
      <c r="AS164" s="27"/>
      <c r="AT164" s="27"/>
      <c r="AU164" s="27"/>
      <c r="AV164" s="27"/>
      <c r="AW164" s="27"/>
      <c r="AX164" s="27"/>
      <c r="AY164" s="27"/>
      <c r="AZ164" s="27"/>
      <c r="BA164" s="27"/>
      <c r="BB164" s="27"/>
      <c r="BC164" s="27"/>
      <c r="BD164" s="27"/>
      <c r="BE164" s="27"/>
      <c r="BF164" s="27"/>
      <c r="BG164" s="27"/>
      <c r="BH164" s="27"/>
      <c r="BI164" s="27"/>
      <c r="BJ164" s="27"/>
      <c r="BK164" s="27"/>
      <c r="BL164" s="27"/>
      <c r="BM164" s="27"/>
      <c r="BN164" s="27"/>
      <c r="BO164" s="27"/>
      <c r="BP164" s="27"/>
      <c r="BQ164" s="27"/>
      <c r="BR164" s="27"/>
      <c r="BS164" s="27"/>
      <c r="BT164" s="27"/>
      <c r="BU164" s="27"/>
      <c r="BV164" s="27"/>
      <c r="BW164" s="27"/>
      <c r="BX164" s="27"/>
      <c r="BY164" s="27"/>
      <c r="BZ164" s="27"/>
      <c r="CA164" s="27"/>
      <c r="CB164" s="27"/>
      <c r="CC164" s="27"/>
      <c r="EU164" s="24"/>
      <c r="EV164" s="24"/>
      <c r="EW164" s="24"/>
      <c r="EX164" s="24"/>
      <c r="EY164" s="24"/>
      <c r="EZ164" s="24"/>
      <c r="FA164" s="24"/>
      <c r="FB164" s="24"/>
      <c r="FC164" s="24"/>
      <c r="FD164" s="24"/>
      <c r="FE164" s="24"/>
      <c r="FF164" s="24"/>
    </row>
    <row r="165" spans="5:162" x14ac:dyDescent="0.3">
      <c r="E165" s="27"/>
      <c r="F165" s="27"/>
      <c r="G165" s="27"/>
      <c r="H165" s="27"/>
      <c r="I165" s="27"/>
      <c r="J165" s="27"/>
      <c r="K165" s="27"/>
      <c r="L165" s="27"/>
      <c r="M165" s="27"/>
      <c r="N165" s="27"/>
      <c r="O165" s="27"/>
      <c r="P165" s="27"/>
      <c r="Q165" s="27"/>
      <c r="R165" s="27"/>
      <c r="S165" s="27"/>
      <c r="T165" s="27"/>
      <c r="U165" s="27"/>
      <c r="V165" s="27"/>
      <c r="W165" s="27"/>
      <c r="X165" s="27"/>
      <c r="Y165" s="27"/>
      <c r="Z165" s="27"/>
      <c r="AA165" s="27"/>
      <c r="AB165" s="27"/>
      <c r="AC165" s="27"/>
      <c r="AD165" s="27"/>
      <c r="AE165" s="27"/>
      <c r="AF165" s="27"/>
      <c r="AG165" s="27"/>
      <c r="AH165" s="27"/>
      <c r="AI165" s="27"/>
      <c r="AJ165" s="27"/>
      <c r="AK165" s="27"/>
      <c r="AL165" s="27"/>
      <c r="AM165" s="27"/>
      <c r="AN165" s="27"/>
      <c r="AO165" s="27"/>
      <c r="AP165" s="27"/>
      <c r="AQ165" s="27"/>
      <c r="AR165" s="27"/>
      <c r="AS165" s="27"/>
      <c r="AT165" s="27"/>
      <c r="AU165" s="27"/>
      <c r="AV165" s="27"/>
      <c r="AW165" s="27"/>
      <c r="AX165" s="27"/>
      <c r="AY165" s="27"/>
      <c r="AZ165" s="27"/>
      <c r="BA165" s="27"/>
      <c r="BB165" s="27"/>
      <c r="BC165" s="27"/>
      <c r="BD165" s="27"/>
      <c r="BE165" s="27"/>
      <c r="BF165" s="27"/>
      <c r="BG165" s="27"/>
      <c r="BH165" s="27"/>
      <c r="BI165" s="27"/>
      <c r="BJ165" s="27"/>
      <c r="BK165" s="27"/>
      <c r="BL165" s="27"/>
      <c r="BM165" s="27"/>
      <c r="BN165" s="27"/>
      <c r="BO165" s="27"/>
      <c r="BP165" s="27"/>
      <c r="BQ165" s="27"/>
      <c r="BR165" s="27"/>
      <c r="BS165" s="27"/>
      <c r="BT165" s="27"/>
      <c r="BU165" s="27"/>
      <c r="BV165" s="27"/>
      <c r="BW165" s="27"/>
      <c r="BX165" s="27"/>
      <c r="BY165" s="27"/>
      <c r="BZ165" s="27"/>
      <c r="CA165" s="27"/>
      <c r="CB165" s="27"/>
      <c r="CC165" s="27"/>
      <c r="EU165" s="24"/>
      <c r="EV165" s="24"/>
      <c r="EW165" s="24"/>
      <c r="EX165" s="24"/>
      <c r="EY165" s="24"/>
      <c r="EZ165" s="24"/>
      <c r="FA165" s="24"/>
      <c r="FB165" s="24"/>
      <c r="FC165" s="24"/>
      <c r="FD165" s="24"/>
      <c r="FE165" s="24"/>
      <c r="FF165" s="24"/>
    </row>
    <row r="166" spans="5:162" x14ac:dyDescent="0.3">
      <c r="E166" s="27"/>
      <c r="F166" s="27"/>
      <c r="G166" s="27"/>
      <c r="H166" s="27"/>
      <c r="I166" s="27"/>
      <c r="J166" s="27"/>
      <c r="K166" s="27"/>
      <c r="L166" s="27"/>
      <c r="M166" s="27"/>
      <c r="N166" s="27"/>
      <c r="O166" s="27"/>
      <c r="P166" s="27"/>
      <c r="Q166" s="27"/>
      <c r="R166" s="27"/>
      <c r="S166" s="27"/>
      <c r="T166" s="27"/>
      <c r="U166" s="27"/>
      <c r="V166" s="27"/>
      <c r="W166" s="27"/>
      <c r="X166" s="27"/>
      <c r="Y166" s="27"/>
      <c r="Z166" s="27"/>
      <c r="AA166" s="27"/>
      <c r="AB166" s="27"/>
      <c r="AC166" s="27"/>
      <c r="AD166" s="27"/>
      <c r="AE166" s="27"/>
      <c r="AF166" s="27"/>
      <c r="AG166" s="27"/>
      <c r="AH166" s="27"/>
      <c r="AI166" s="27"/>
      <c r="AJ166" s="27"/>
      <c r="AK166" s="27"/>
      <c r="AL166" s="27"/>
      <c r="AM166" s="27"/>
      <c r="AN166" s="27"/>
      <c r="AO166" s="27"/>
      <c r="AP166" s="27"/>
      <c r="AQ166" s="27"/>
      <c r="AR166" s="27"/>
      <c r="AS166" s="27"/>
      <c r="AT166" s="27"/>
      <c r="AU166" s="27"/>
      <c r="AV166" s="27"/>
      <c r="AW166" s="27"/>
      <c r="AX166" s="27"/>
      <c r="AY166" s="27"/>
      <c r="AZ166" s="27"/>
      <c r="BA166" s="27"/>
      <c r="BB166" s="27"/>
      <c r="BC166" s="27"/>
      <c r="BD166" s="27"/>
      <c r="BE166" s="27"/>
      <c r="BF166" s="27"/>
      <c r="BG166" s="27"/>
      <c r="BH166" s="27"/>
      <c r="BI166" s="27"/>
      <c r="BJ166" s="27"/>
      <c r="BK166" s="27"/>
      <c r="BL166" s="27"/>
      <c r="BM166" s="27"/>
      <c r="BN166" s="27"/>
      <c r="BO166" s="27"/>
      <c r="BP166" s="27"/>
      <c r="BQ166" s="27"/>
      <c r="BR166" s="27"/>
      <c r="BS166" s="27"/>
      <c r="BT166" s="27"/>
      <c r="BU166" s="27"/>
      <c r="BV166" s="27"/>
      <c r="BW166" s="27"/>
      <c r="BX166" s="27"/>
      <c r="BY166" s="27"/>
      <c r="BZ166" s="27"/>
      <c r="CA166" s="27"/>
      <c r="CB166" s="27"/>
      <c r="CC166" s="27"/>
    </row>
    <row r="167" spans="5:162" x14ac:dyDescent="0.3">
      <c r="E167" s="27"/>
      <c r="F167" s="27"/>
      <c r="G167" s="27"/>
      <c r="H167" s="27"/>
      <c r="I167" s="27"/>
      <c r="J167" s="27"/>
      <c r="K167" s="27"/>
      <c r="L167" s="27"/>
      <c r="M167" s="27"/>
      <c r="N167" s="27"/>
      <c r="O167" s="27"/>
      <c r="P167" s="27"/>
      <c r="Q167" s="27"/>
      <c r="R167" s="27"/>
      <c r="S167" s="27"/>
      <c r="T167" s="27"/>
      <c r="U167" s="27"/>
      <c r="V167" s="27"/>
      <c r="W167" s="27"/>
      <c r="X167" s="27"/>
      <c r="Y167" s="27"/>
      <c r="Z167" s="27"/>
      <c r="AA167" s="27"/>
      <c r="AB167" s="27"/>
      <c r="AC167" s="27"/>
      <c r="AD167" s="27"/>
      <c r="AE167" s="27"/>
      <c r="AF167" s="27"/>
      <c r="AG167" s="27"/>
      <c r="AH167" s="27"/>
      <c r="AI167" s="27"/>
      <c r="AJ167" s="27"/>
      <c r="AK167" s="27"/>
      <c r="AL167" s="27"/>
      <c r="AM167" s="27"/>
      <c r="AN167" s="27"/>
      <c r="AO167" s="27"/>
      <c r="AP167" s="27"/>
      <c r="AQ167" s="27"/>
      <c r="AR167" s="27"/>
      <c r="AS167" s="27"/>
      <c r="AT167" s="27"/>
      <c r="AU167" s="27"/>
      <c r="AV167" s="27"/>
      <c r="AW167" s="27"/>
      <c r="AX167" s="27"/>
      <c r="AY167" s="27"/>
      <c r="AZ167" s="27"/>
      <c r="BA167" s="27"/>
      <c r="BB167" s="27"/>
      <c r="BC167" s="27"/>
      <c r="BD167" s="27"/>
      <c r="BE167" s="27"/>
      <c r="BF167" s="27"/>
      <c r="BG167" s="27"/>
      <c r="BH167" s="27"/>
      <c r="BI167" s="27"/>
      <c r="BJ167" s="27"/>
      <c r="BK167" s="27"/>
      <c r="BL167" s="27"/>
      <c r="BM167" s="27"/>
      <c r="BN167" s="27"/>
      <c r="BO167" s="27"/>
      <c r="BP167" s="27"/>
      <c r="BQ167" s="27"/>
      <c r="BR167" s="27"/>
      <c r="BS167" s="27"/>
      <c r="BT167" s="27"/>
      <c r="BU167" s="27"/>
      <c r="BV167" s="27"/>
      <c r="BW167" s="27"/>
      <c r="BX167" s="27"/>
      <c r="BY167" s="27"/>
      <c r="BZ167" s="27"/>
      <c r="CA167" s="27"/>
      <c r="CB167" s="27"/>
      <c r="CC167" s="27"/>
    </row>
    <row r="168" spans="5:162" x14ac:dyDescent="0.3">
      <c r="E168" s="27"/>
      <c r="F168" s="27"/>
      <c r="G168" s="27"/>
      <c r="H168" s="27"/>
      <c r="I168" s="27"/>
      <c r="J168" s="27"/>
      <c r="K168" s="27"/>
      <c r="L168" s="27"/>
      <c r="M168" s="27"/>
      <c r="N168" s="27"/>
      <c r="O168" s="27"/>
      <c r="P168" s="27"/>
      <c r="Q168" s="27"/>
      <c r="R168" s="27"/>
      <c r="S168" s="27"/>
      <c r="T168" s="27"/>
      <c r="U168" s="27"/>
      <c r="V168" s="27"/>
      <c r="W168" s="27"/>
      <c r="X168" s="27"/>
      <c r="Y168" s="27"/>
      <c r="Z168" s="27"/>
      <c r="AA168" s="27"/>
      <c r="AB168" s="27"/>
      <c r="AC168" s="27"/>
      <c r="AD168" s="27"/>
      <c r="AE168" s="27"/>
      <c r="AF168" s="27"/>
      <c r="AG168" s="27"/>
      <c r="AH168" s="27"/>
      <c r="AI168" s="27"/>
      <c r="AJ168" s="27"/>
      <c r="AK168" s="27"/>
      <c r="AL168" s="27"/>
      <c r="AM168" s="27"/>
      <c r="AN168" s="27"/>
      <c r="AO168" s="27"/>
      <c r="AP168" s="27"/>
      <c r="AQ168" s="27"/>
      <c r="AR168" s="27"/>
      <c r="AS168" s="27"/>
      <c r="AT168" s="27"/>
      <c r="AU168" s="27"/>
      <c r="AV168" s="27"/>
      <c r="AW168" s="27"/>
      <c r="AX168" s="27"/>
      <c r="AY168" s="27"/>
      <c r="AZ168" s="27"/>
      <c r="BA168" s="27"/>
      <c r="BB168" s="27"/>
      <c r="BC168" s="27"/>
      <c r="BD168" s="27"/>
      <c r="BE168" s="27"/>
      <c r="BF168" s="27"/>
      <c r="BG168" s="27"/>
      <c r="BH168" s="27"/>
      <c r="BI168" s="27"/>
      <c r="BJ168" s="27"/>
      <c r="BK168" s="27"/>
      <c r="BL168" s="27"/>
      <c r="BM168" s="27"/>
      <c r="BN168" s="27"/>
      <c r="BO168" s="27"/>
      <c r="BP168" s="27"/>
      <c r="BQ168" s="27"/>
      <c r="BR168" s="27"/>
      <c r="BS168" s="27"/>
      <c r="BT168" s="27"/>
      <c r="BU168" s="27"/>
      <c r="BV168" s="27"/>
      <c r="BW168" s="27"/>
      <c r="BX168" s="27"/>
      <c r="BY168" s="27"/>
      <c r="BZ168" s="27"/>
      <c r="CA168" s="27"/>
      <c r="CB168" s="27"/>
      <c r="CC168" s="27"/>
    </row>
    <row r="169" spans="5:162" x14ac:dyDescent="0.3">
      <c r="E169" s="27"/>
      <c r="F169" s="27"/>
      <c r="G169" s="27"/>
      <c r="H169" s="27"/>
      <c r="I169" s="27"/>
      <c r="J169" s="27"/>
      <c r="K169" s="27"/>
      <c r="L169" s="27"/>
      <c r="M169" s="27"/>
      <c r="N169" s="27"/>
      <c r="O169" s="27"/>
      <c r="P169" s="27"/>
      <c r="Q169" s="27"/>
      <c r="R169" s="27"/>
      <c r="S169" s="27"/>
      <c r="T169" s="27"/>
      <c r="U169" s="27"/>
      <c r="V169" s="27"/>
      <c r="W169" s="27"/>
      <c r="X169" s="27"/>
      <c r="Y169" s="27"/>
      <c r="Z169" s="27"/>
      <c r="AA169" s="27"/>
      <c r="AB169" s="27"/>
      <c r="AC169" s="27"/>
      <c r="AD169" s="27"/>
      <c r="AE169" s="27"/>
      <c r="AF169" s="27"/>
      <c r="AG169" s="27"/>
      <c r="AH169" s="27"/>
      <c r="AI169" s="27"/>
      <c r="AJ169" s="27"/>
      <c r="AK169" s="27"/>
      <c r="AL169" s="27"/>
      <c r="AM169" s="27"/>
      <c r="AN169" s="27"/>
      <c r="AO169" s="27"/>
      <c r="AP169" s="27"/>
      <c r="AQ169" s="27"/>
      <c r="AR169" s="27"/>
      <c r="AS169" s="27"/>
      <c r="AT169" s="27"/>
      <c r="AU169" s="27"/>
      <c r="AV169" s="27"/>
      <c r="AW169" s="27"/>
      <c r="AX169" s="27"/>
      <c r="AY169" s="27"/>
      <c r="AZ169" s="27"/>
      <c r="BA169" s="27"/>
      <c r="BB169" s="27"/>
      <c r="BC169" s="27"/>
      <c r="BD169" s="27"/>
      <c r="BE169" s="27"/>
      <c r="BF169" s="27"/>
      <c r="BG169" s="27"/>
      <c r="BH169" s="27"/>
      <c r="BI169" s="27"/>
      <c r="BJ169" s="27"/>
      <c r="BK169" s="27"/>
      <c r="BL169" s="27"/>
      <c r="BM169" s="27"/>
      <c r="BN169" s="27"/>
      <c r="BO169" s="27"/>
      <c r="BP169" s="27"/>
      <c r="BQ169" s="27"/>
      <c r="BR169" s="27"/>
      <c r="BS169" s="27"/>
      <c r="BT169" s="27"/>
      <c r="BU169" s="27"/>
      <c r="BV169" s="27"/>
      <c r="BW169" s="27"/>
      <c r="BX169" s="27"/>
      <c r="BY169" s="27"/>
      <c r="BZ169" s="27"/>
      <c r="CA169" s="27"/>
      <c r="CB169" s="27"/>
      <c r="CC169" s="27"/>
    </row>
  </sheetData>
  <mergeCells count="6">
    <mergeCell ref="BE28:BS45"/>
    <mergeCell ref="CM45:CY54"/>
    <mergeCell ref="G28:P46"/>
    <mergeCell ref="R28:AB46"/>
    <mergeCell ref="AD28:AO45"/>
    <mergeCell ref="AQ28:BC45"/>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504"/>
  <sheetViews>
    <sheetView topLeftCell="A78" workbookViewId="0">
      <selection activeCell="J89" sqref="J89"/>
    </sheetView>
  </sheetViews>
  <sheetFormatPr defaultRowHeight="14.4" x14ac:dyDescent="0.3"/>
  <cols>
    <col min="1" max="1" width="18.109375" bestFit="1" customWidth="1"/>
    <col min="2" max="2" width="22.77734375" bestFit="1" customWidth="1"/>
    <col min="3" max="3" width="9.77734375" customWidth="1"/>
    <col min="4" max="4" width="11.33203125" customWidth="1"/>
    <col min="5" max="5" width="18.21875" bestFit="1" customWidth="1"/>
    <col min="6" max="6" width="12.88671875" customWidth="1"/>
    <col min="7" max="7" width="9.6640625" customWidth="1"/>
    <col min="8" max="8" width="13" customWidth="1"/>
    <col min="9" max="9" width="23.33203125" bestFit="1" customWidth="1"/>
    <col min="10" max="10" width="15" bestFit="1" customWidth="1"/>
    <col min="11" max="11" width="15.33203125" customWidth="1"/>
    <col min="12" max="12" width="10.33203125" bestFit="1" customWidth="1"/>
    <col min="14" max="14" width="10.44140625" bestFit="1" customWidth="1"/>
    <col min="15" max="15" width="13.44140625" customWidth="1"/>
  </cols>
  <sheetData>
    <row r="1" spans="1:15" x14ac:dyDescent="0.3">
      <c r="A1" s="16" t="s">
        <v>0</v>
      </c>
      <c r="B1" s="17" t="s">
        <v>1</v>
      </c>
      <c r="C1" s="4" t="s">
        <v>2</v>
      </c>
      <c r="D1" s="4" t="s">
        <v>3</v>
      </c>
      <c r="E1" s="4" t="s">
        <v>4</v>
      </c>
      <c r="F1" s="4" t="s">
        <v>5</v>
      </c>
      <c r="G1" s="4" t="s">
        <v>6</v>
      </c>
      <c r="H1" s="4" t="s">
        <v>7</v>
      </c>
      <c r="I1" s="4" t="s">
        <v>8</v>
      </c>
      <c r="J1" s="4" t="s">
        <v>9</v>
      </c>
      <c r="K1" s="4" t="s">
        <v>10</v>
      </c>
      <c r="L1" s="4" t="s">
        <v>11</v>
      </c>
      <c r="M1" s="4" t="s">
        <v>12</v>
      </c>
      <c r="N1" s="4" t="s">
        <v>13</v>
      </c>
      <c r="O1" s="5" t="s">
        <v>14</v>
      </c>
    </row>
    <row r="2" spans="1:15" x14ac:dyDescent="0.3">
      <c r="A2" s="18">
        <v>46279.844224537039</v>
      </c>
      <c r="B2" s="19" t="s">
        <v>40</v>
      </c>
      <c r="C2" s="15">
        <v>28.632999999999999</v>
      </c>
      <c r="D2" s="1">
        <v>77.2196</v>
      </c>
      <c r="E2" s="1" t="s">
        <v>16</v>
      </c>
      <c r="F2" s="1" t="s">
        <v>17</v>
      </c>
      <c r="G2" s="1" t="s">
        <v>18</v>
      </c>
      <c r="H2" s="1" t="s">
        <v>19</v>
      </c>
      <c r="I2" s="1" t="s">
        <v>20</v>
      </c>
      <c r="J2" s="1">
        <v>48</v>
      </c>
      <c r="K2" s="1" t="s">
        <v>21</v>
      </c>
      <c r="L2" s="2">
        <v>46325</v>
      </c>
      <c r="M2" s="1">
        <v>23</v>
      </c>
      <c r="N2" s="1" t="s">
        <v>22</v>
      </c>
      <c r="O2" s="3" t="s">
        <v>23</v>
      </c>
    </row>
    <row r="3" spans="1:15" x14ac:dyDescent="0.3">
      <c r="A3" s="18">
        <v>46268.185925925929</v>
      </c>
      <c r="B3" s="19" t="s">
        <v>40</v>
      </c>
      <c r="C3" s="15">
        <v>28.567599999999999</v>
      </c>
      <c r="D3" s="1">
        <v>77.209599999999995</v>
      </c>
      <c r="E3" s="1" t="s">
        <v>25</v>
      </c>
      <c r="F3" s="1" t="s">
        <v>26</v>
      </c>
      <c r="G3" s="1" t="s">
        <v>18</v>
      </c>
      <c r="H3" s="1" t="s">
        <v>27</v>
      </c>
      <c r="I3" s="1" t="s">
        <v>20</v>
      </c>
      <c r="J3" s="1">
        <v>24</v>
      </c>
      <c r="K3" s="1" t="s">
        <v>21</v>
      </c>
      <c r="L3" s="2">
        <v>46325</v>
      </c>
      <c r="M3" s="1">
        <v>20</v>
      </c>
      <c r="N3" s="1" t="s">
        <v>22</v>
      </c>
      <c r="O3" s="3" t="s">
        <v>28</v>
      </c>
    </row>
    <row r="4" spans="1:15" x14ac:dyDescent="0.3">
      <c r="A4" s="18">
        <v>46270.371863425928</v>
      </c>
      <c r="B4" s="19" t="s">
        <v>37</v>
      </c>
      <c r="C4" s="15">
        <v>28.6328</v>
      </c>
      <c r="D4" s="1">
        <v>77.219499999999996</v>
      </c>
      <c r="E4" s="1" t="s">
        <v>16</v>
      </c>
      <c r="F4" s="1" t="s">
        <v>30</v>
      </c>
      <c r="G4" s="1" t="s">
        <v>31</v>
      </c>
      <c r="H4" s="1" t="s">
        <v>32</v>
      </c>
      <c r="I4" s="1" t="s">
        <v>33</v>
      </c>
      <c r="J4" s="1">
        <v>26</v>
      </c>
      <c r="K4" s="1" t="s">
        <v>34</v>
      </c>
      <c r="L4" s="2">
        <v>46325</v>
      </c>
      <c r="M4" s="1">
        <v>19</v>
      </c>
      <c r="N4" s="1" t="s">
        <v>22</v>
      </c>
      <c r="O4" s="3" t="s">
        <v>28</v>
      </c>
    </row>
    <row r="5" spans="1:15" x14ac:dyDescent="0.3">
      <c r="A5" s="18">
        <v>46289.025127314817</v>
      </c>
      <c r="B5" s="19" t="s">
        <v>40</v>
      </c>
      <c r="C5" s="15">
        <v>28.632999999999999</v>
      </c>
      <c r="D5" s="1">
        <v>77.2196</v>
      </c>
      <c r="E5" s="1" t="s">
        <v>16</v>
      </c>
      <c r="F5" s="1" t="s">
        <v>35</v>
      </c>
      <c r="G5" s="1" t="s">
        <v>18</v>
      </c>
      <c r="H5" s="1" t="s">
        <v>32</v>
      </c>
      <c r="I5" s="1" t="s">
        <v>36</v>
      </c>
      <c r="J5" s="1">
        <v>65</v>
      </c>
      <c r="K5" s="1" t="s">
        <v>34</v>
      </c>
      <c r="L5" s="2">
        <v>46325</v>
      </c>
      <c r="M5" s="1">
        <v>19</v>
      </c>
      <c r="N5" s="1" t="s">
        <v>22</v>
      </c>
      <c r="O5" s="3" t="s">
        <v>28</v>
      </c>
    </row>
    <row r="6" spans="1:15" x14ac:dyDescent="0.3">
      <c r="A6" s="18">
        <v>46284.653263888889</v>
      </c>
      <c r="B6" s="19" t="s">
        <v>46</v>
      </c>
      <c r="C6" s="15">
        <v>28.5562</v>
      </c>
      <c r="D6" s="1">
        <v>77.099999999999994</v>
      </c>
      <c r="E6" s="1" t="s">
        <v>38</v>
      </c>
      <c r="F6" s="1" t="s">
        <v>26</v>
      </c>
      <c r="G6" s="1" t="s">
        <v>18</v>
      </c>
      <c r="H6" s="1" t="s">
        <v>32</v>
      </c>
      <c r="I6" s="1" t="s">
        <v>20</v>
      </c>
      <c r="J6" s="1">
        <v>57</v>
      </c>
      <c r="K6" s="1" t="s">
        <v>39</v>
      </c>
      <c r="L6" s="2">
        <v>46325</v>
      </c>
      <c r="M6" s="1">
        <v>19</v>
      </c>
      <c r="N6" s="1" t="s">
        <v>22</v>
      </c>
      <c r="O6" s="3" t="s">
        <v>28</v>
      </c>
    </row>
    <row r="7" spans="1:15" x14ac:dyDescent="0.3">
      <c r="A7" s="18">
        <v>46282.758796296293</v>
      </c>
      <c r="B7" s="19" t="s">
        <v>40</v>
      </c>
      <c r="C7" s="15">
        <v>28.545300000000001</v>
      </c>
      <c r="D7" s="1">
        <v>77.192499999999995</v>
      </c>
      <c r="E7" s="1" t="s">
        <v>41</v>
      </c>
      <c r="F7" s="1" t="s">
        <v>17</v>
      </c>
      <c r="G7" s="1" t="s">
        <v>18</v>
      </c>
      <c r="H7" s="1" t="s">
        <v>27</v>
      </c>
      <c r="I7" s="1" t="s">
        <v>20</v>
      </c>
      <c r="J7" s="1">
        <v>44</v>
      </c>
      <c r="K7" s="1" t="s">
        <v>21</v>
      </c>
      <c r="L7" s="2">
        <v>46325</v>
      </c>
      <c r="M7" s="1">
        <v>18</v>
      </c>
      <c r="N7" s="1" t="s">
        <v>22</v>
      </c>
      <c r="O7" s="3" t="s">
        <v>28</v>
      </c>
    </row>
    <row r="8" spans="1:15" x14ac:dyDescent="0.3">
      <c r="A8" s="18">
        <v>46276.055277777778</v>
      </c>
      <c r="B8" s="19" t="s">
        <v>24</v>
      </c>
      <c r="C8" s="15">
        <v>28.6129</v>
      </c>
      <c r="D8" s="1">
        <v>77.229500000000002</v>
      </c>
      <c r="E8" s="1" t="s">
        <v>43</v>
      </c>
      <c r="F8" s="1" t="s">
        <v>44</v>
      </c>
      <c r="G8" s="1" t="s">
        <v>45</v>
      </c>
      <c r="H8" s="1" t="s">
        <v>32</v>
      </c>
      <c r="I8" s="1" t="s">
        <v>36</v>
      </c>
      <c r="J8" s="1">
        <v>53</v>
      </c>
      <c r="K8" s="1" t="s">
        <v>21</v>
      </c>
      <c r="L8" s="2">
        <v>46325</v>
      </c>
      <c r="M8" s="1">
        <v>18</v>
      </c>
      <c r="N8" s="1" t="s">
        <v>22</v>
      </c>
      <c r="O8" s="3" t="s">
        <v>28</v>
      </c>
    </row>
    <row r="9" spans="1:15" x14ac:dyDescent="0.3">
      <c r="A9" s="18">
        <v>46290.773865740739</v>
      </c>
      <c r="B9" s="19" t="s">
        <v>54</v>
      </c>
      <c r="C9" s="15">
        <v>28.571400000000001</v>
      </c>
      <c r="D9" s="1">
        <v>77.281300000000002</v>
      </c>
      <c r="E9" s="1" t="s">
        <v>47</v>
      </c>
      <c r="F9" s="1" t="s">
        <v>48</v>
      </c>
      <c r="G9" s="1" t="s">
        <v>45</v>
      </c>
      <c r="H9" s="1" t="s">
        <v>19</v>
      </c>
      <c r="I9" s="1" t="s">
        <v>20</v>
      </c>
      <c r="J9" s="1">
        <v>37</v>
      </c>
      <c r="K9" s="1" t="s">
        <v>34</v>
      </c>
      <c r="L9" s="2">
        <v>46325</v>
      </c>
      <c r="M9" s="1">
        <v>17</v>
      </c>
      <c r="N9" s="1" t="s">
        <v>22</v>
      </c>
      <c r="O9" s="3" t="s">
        <v>28</v>
      </c>
    </row>
    <row r="10" spans="1:15" x14ac:dyDescent="0.3">
      <c r="A10" s="18">
        <v>46291.356782407405</v>
      </c>
      <c r="B10" s="19" t="s">
        <v>46</v>
      </c>
      <c r="C10" s="15">
        <v>28.6129</v>
      </c>
      <c r="D10" s="1">
        <v>77.229500000000002</v>
      </c>
      <c r="E10" s="1" t="s">
        <v>43</v>
      </c>
      <c r="F10" s="1" t="s">
        <v>26</v>
      </c>
      <c r="G10" s="1" t="s">
        <v>18</v>
      </c>
      <c r="H10" s="1" t="s">
        <v>32</v>
      </c>
      <c r="I10" s="1" t="s">
        <v>20</v>
      </c>
      <c r="J10" s="1">
        <v>42</v>
      </c>
      <c r="K10" s="1" t="s">
        <v>34</v>
      </c>
      <c r="L10" s="2">
        <v>46325</v>
      </c>
      <c r="M10" s="1">
        <v>17</v>
      </c>
      <c r="N10" s="1" t="s">
        <v>22</v>
      </c>
      <c r="O10" s="3" t="s">
        <v>28</v>
      </c>
    </row>
    <row r="11" spans="1:15" x14ac:dyDescent="0.3">
      <c r="A11" s="18">
        <v>46272.557789351849</v>
      </c>
      <c r="B11" s="19" t="s">
        <v>42</v>
      </c>
      <c r="C11" s="15">
        <v>28.567599999999999</v>
      </c>
      <c r="D11" s="1">
        <v>77.209599999999995</v>
      </c>
      <c r="E11" s="1" t="s">
        <v>25</v>
      </c>
      <c r="F11" s="1" t="s">
        <v>30</v>
      </c>
      <c r="G11" s="1" t="s">
        <v>18</v>
      </c>
      <c r="H11" s="1" t="s">
        <v>27</v>
      </c>
      <c r="I11" s="1" t="s">
        <v>49</v>
      </c>
      <c r="J11" s="1">
        <v>26</v>
      </c>
      <c r="K11" s="1" t="s">
        <v>39</v>
      </c>
      <c r="L11" s="2">
        <v>46325</v>
      </c>
      <c r="M11" s="1">
        <v>17</v>
      </c>
      <c r="N11" s="1" t="s">
        <v>22</v>
      </c>
      <c r="O11" s="3" t="s">
        <v>28</v>
      </c>
    </row>
    <row r="12" spans="1:15" x14ac:dyDescent="0.3">
      <c r="A12" s="18">
        <v>46275.618090277778</v>
      </c>
      <c r="B12" s="19" t="s">
        <v>24</v>
      </c>
      <c r="C12" s="15">
        <v>28.632999999999999</v>
      </c>
      <c r="D12" s="1">
        <v>77.2196</v>
      </c>
      <c r="E12" s="1" t="s">
        <v>16</v>
      </c>
      <c r="F12" s="1" t="s">
        <v>26</v>
      </c>
      <c r="G12" s="1" t="s">
        <v>18</v>
      </c>
      <c r="H12" s="1" t="s">
        <v>32</v>
      </c>
      <c r="I12" s="1" t="s">
        <v>20</v>
      </c>
      <c r="J12" s="1">
        <v>73</v>
      </c>
      <c r="K12" s="1" t="s">
        <v>34</v>
      </c>
      <c r="L12" s="2">
        <v>46325</v>
      </c>
      <c r="M12" s="1">
        <v>17</v>
      </c>
      <c r="N12" s="1" t="s">
        <v>22</v>
      </c>
      <c r="O12" s="3" t="s">
        <v>28</v>
      </c>
    </row>
    <row r="13" spans="1:15" x14ac:dyDescent="0.3">
      <c r="A13" s="18">
        <v>46292.522615740738</v>
      </c>
      <c r="B13" s="19" t="s">
        <v>54</v>
      </c>
      <c r="C13" s="15">
        <v>28.567599999999999</v>
      </c>
      <c r="D13" s="1">
        <v>77.209599999999995</v>
      </c>
      <c r="E13" s="1" t="s">
        <v>25</v>
      </c>
      <c r="F13" s="1" t="s">
        <v>26</v>
      </c>
      <c r="G13" s="1" t="s">
        <v>50</v>
      </c>
      <c r="H13" s="1" t="s">
        <v>32</v>
      </c>
      <c r="I13" s="1" t="s">
        <v>20</v>
      </c>
      <c r="J13" s="1">
        <v>59</v>
      </c>
      <c r="K13" s="1" t="s">
        <v>21</v>
      </c>
      <c r="L13" s="2">
        <v>46325</v>
      </c>
      <c r="M13" s="1">
        <v>13</v>
      </c>
      <c r="N13" s="1" t="s">
        <v>22</v>
      </c>
      <c r="O13" s="3" t="s">
        <v>51</v>
      </c>
    </row>
    <row r="14" spans="1:15" x14ac:dyDescent="0.3">
      <c r="A14" s="18">
        <v>46290.045231481483</v>
      </c>
      <c r="B14" s="19" t="s">
        <v>42</v>
      </c>
      <c r="C14" s="15">
        <v>28.6129</v>
      </c>
      <c r="D14" s="1">
        <v>77.229500000000002</v>
      </c>
      <c r="E14" s="1" t="s">
        <v>43</v>
      </c>
      <c r="F14" s="1" t="s">
        <v>52</v>
      </c>
      <c r="G14" s="1" t="s">
        <v>45</v>
      </c>
      <c r="H14" s="1" t="s">
        <v>32</v>
      </c>
      <c r="I14" s="1" t="s">
        <v>36</v>
      </c>
      <c r="J14" s="1">
        <v>62</v>
      </c>
      <c r="K14" s="1" t="s">
        <v>34</v>
      </c>
      <c r="L14" s="2">
        <v>46325</v>
      </c>
      <c r="M14" s="1">
        <v>13</v>
      </c>
      <c r="N14" s="1" t="s">
        <v>22</v>
      </c>
      <c r="O14" s="3" t="s">
        <v>51</v>
      </c>
    </row>
    <row r="15" spans="1:15" x14ac:dyDescent="0.3">
      <c r="A15" s="18">
        <v>46277.366828703707</v>
      </c>
      <c r="B15" s="19" t="s">
        <v>29</v>
      </c>
      <c r="C15" s="15">
        <v>28.6328</v>
      </c>
      <c r="D15" s="1">
        <v>77.219499999999996</v>
      </c>
      <c r="E15" s="1" t="s">
        <v>16</v>
      </c>
      <c r="F15" s="1" t="s">
        <v>53</v>
      </c>
      <c r="G15" s="1" t="s">
        <v>18</v>
      </c>
      <c r="H15" s="1" t="s">
        <v>27</v>
      </c>
      <c r="I15" s="1" t="s">
        <v>20</v>
      </c>
      <c r="J15" s="1">
        <v>66</v>
      </c>
      <c r="K15" s="1" t="s">
        <v>34</v>
      </c>
      <c r="L15" s="2">
        <v>46325</v>
      </c>
      <c r="M15" s="1">
        <v>13</v>
      </c>
      <c r="N15" s="1" t="s">
        <v>22</v>
      </c>
      <c r="O15" s="3" t="s">
        <v>51</v>
      </c>
    </row>
    <row r="16" spans="1:15" x14ac:dyDescent="0.3">
      <c r="A16" s="18">
        <v>46293.105532407404</v>
      </c>
      <c r="B16" s="19" t="s">
        <v>29</v>
      </c>
      <c r="C16" s="15">
        <v>28.5562</v>
      </c>
      <c r="D16" s="1">
        <v>77.099999999999994</v>
      </c>
      <c r="E16" s="1" t="s">
        <v>38</v>
      </c>
      <c r="F16" s="1" t="s">
        <v>52</v>
      </c>
      <c r="G16" s="1" t="s">
        <v>50</v>
      </c>
      <c r="H16" s="1" t="s">
        <v>27</v>
      </c>
      <c r="I16" s="1" t="s">
        <v>36</v>
      </c>
      <c r="J16" s="1">
        <v>38</v>
      </c>
      <c r="K16" s="1" t="s">
        <v>39</v>
      </c>
      <c r="L16" s="2">
        <v>46325</v>
      </c>
      <c r="M16" s="1">
        <v>13</v>
      </c>
      <c r="N16" s="1" t="s">
        <v>22</v>
      </c>
      <c r="O16" s="3" t="s">
        <v>51</v>
      </c>
    </row>
    <row r="17" spans="1:15" x14ac:dyDescent="0.3">
      <c r="A17" s="18">
        <v>46291.793969907405</v>
      </c>
      <c r="B17" s="19" t="s">
        <v>40</v>
      </c>
      <c r="C17" s="15">
        <v>28.656199999999998</v>
      </c>
      <c r="D17" s="1">
        <v>77.231499999999997</v>
      </c>
      <c r="E17" s="1" t="s">
        <v>55</v>
      </c>
      <c r="F17" s="1" t="s">
        <v>48</v>
      </c>
      <c r="G17" s="1" t="s">
        <v>45</v>
      </c>
      <c r="H17" s="1" t="s">
        <v>32</v>
      </c>
      <c r="I17" s="1" t="s">
        <v>20</v>
      </c>
      <c r="J17" s="1">
        <v>36</v>
      </c>
      <c r="K17" s="1" t="s">
        <v>39</v>
      </c>
      <c r="L17" s="2">
        <v>46325</v>
      </c>
      <c r="M17" s="1">
        <v>12</v>
      </c>
      <c r="N17" s="1" t="s">
        <v>22</v>
      </c>
      <c r="O17" s="3" t="s">
        <v>51</v>
      </c>
    </row>
    <row r="18" spans="1:15" x14ac:dyDescent="0.3">
      <c r="A18" s="18">
        <v>46274.160798611112</v>
      </c>
      <c r="B18" s="19" t="s">
        <v>42</v>
      </c>
      <c r="C18" s="15">
        <v>28.571400000000001</v>
      </c>
      <c r="D18" s="1">
        <v>77.281300000000002</v>
      </c>
      <c r="E18" s="1" t="s">
        <v>47</v>
      </c>
      <c r="F18" s="1" t="s">
        <v>44</v>
      </c>
      <c r="G18" s="1" t="s">
        <v>18</v>
      </c>
      <c r="H18" s="1" t="s">
        <v>27</v>
      </c>
      <c r="I18" s="1" t="s">
        <v>56</v>
      </c>
      <c r="J18" s="1">
        <v>47</v>
      </c>
      <c r="K18" s="1" t="s">
        <v>21</v>
      </c>
      <c r="L18" s="2">
        <v>46325</v>
      </c>
      <c r="M18" s="1">
        <v>11</v>
      </c>
      <c r="N18" s="1" t="s">
        <v>22</v>
      </c>
      <c r="O18" s="3" t="s">
        <v>57</v>
      </c>
    </row>
    <row r="19" spans="1:15" x14ac:dyDescent="0.3">
      <c r="A19" s="18">
        <v>46288.150752314818</v>
      </c>
      <c r="B19" s="19" t="s">
        <v>24</v>
      </c>
      <c r="C19" s="15">
        <v>28.6328</v>
      </c>
      <c r="D19" s="1">
        <v>77.219499999999996</v>
      </c>
      <c r="E19" s="1" t="s">
        <v>16</v>
      </c>
      <c r="F19" s="1" t="s">
        <v>58</v>
      </c>
      <c r="G19" s="1" t="s">
        <v>50</v>
      </c>
      <c r="H19" s="1" t="s">
        <v>19</v>
      </c>
      <c r="I19" s="1" t="s">
        <v>20</v>
      </c>
      <c r="J19" s="1">
        <v>28</v>
      </c>
      <c r="K19" s="1" t="s">
        <v>21</v>
      </c>
      <c r="L19" s="2">
        <v>46325</v>
      </c>
      <c r="M19" s="1">
        <v>11</v>
      </c>
      <c r="N19" s="1" t="s">
        <v>22</v>
      </c>
      <c r="O19" s="3" t="s">
        <v>57</v>
      </c>
    </row>
    <row r="20" spans="1:15" x14ac:dyDescent="0.3">
      <c r="A20" s="18">
        <v>46277.949745370373</v>
      </c>
      <c r="B20" s="19" t="s">
        <v>42</v>
      </c>
      <c r="C20" s="15">
        <v>28.6129</v>
      </c>
      <c r="D20" s="1">
        <v>77.229500000000002</v>
      </c>
      <c r="E20" s="1" t="s">
        <v>43</v>
      </c>
      <c r="F20" s="1" t="s">
        <v>35</v>
      </c>
      <c r="G20" s="1" t="s">
        <v>45</v>
      </c>
      <c r="H20" s="1" t="s">
        <v>27</v>
      </c>
      <c r="I20" s="1" t="s">
        <v>36</v>
      </c>
      <c r="J20" s="1">
        <v>47</v>
      </c>
      <c r="K20" s="1" t="s">
        <v>39</v>
      </c>
      <c r="L20" s="2">
        <v>46325</v>
      </c>
      <c r="M20" s="1">
        <v>8</v>
      </c>
      <c r="N20" s="1" t="s">
        <v>22</v>
      </c>
      <c r="O20" s="3" t="s">
        <v>57</v>
      </c>
    </row>
    <row r="21" spans="1:15" x14ac:dyDescent="0.3">
      <c r="A21" s="18">
        <v>46275.909548611111</v>
      </c>
      <c r="B21" s="19" t="s">
        <v>29</v>
      </c>
      <c r="C21" s="15">
        <v>28.571400000000001</v>
      </c>
      <c r="D21" s="1">
        <v>77.281300000000002</v>
      </c>
      <c r="E21" s="1" t="s">
        <v>47</v>
      </c>
      <c r="F21" s="1" t="s">
        <v>30</v>
      </c>
      <c r="G21" s="1" t="s">
        <v>50</v>
      </c>
      <c r="H21" s="1" t="s">
        <v>32</v>
      </c>
      <c r="I21" s="1" t="s">
        <v>33</v>
      </c>
      <c r="J21" s="1">
        <v>31</v>
      </c>
      <c r="K21" s="1" t="s">
        <v>21</v>
      </c>
      <c r="L21" s="2">
        <v>46325</v>
      </c>
      <c r="M21" s="1">
        <v>6</v>
      </c>
      <c r="N21" s="1" t="s">
        <v>22</v>
      </c>
      <c r="O21" s="3" t="s">
        <v>57</v>
      </c>
    </row>
    <row r="22" spans="1:15" x14ac:dyDescent="0.3">
      <c r="A22" s="18">
        <v>46284.070347222223</v>
      </c>
      <c r="B22" s="19" t="s">
        <v>24</v>
      </c>
      <c r="C22" s="15">
        <v>28.571400000000001</v>
      </c>
      <c r="D22" s="1">
        <v>77.281300000000002</v>
      </c>
      <c r="E22" s="1" t="s">
        <v>47</v>
      </c>
      <c r="F22" s="1" t="s">
        <v>53</v>
      </c>
      <c r="G22" s="1" t="s">
        <v>50</v>
      </c>
      <c r="H22" s="1" t="s">
        <v>27</v>
      </c>
      <c r="I22" s="1" t="s">
        <v>20</v>
      </c>
      <c r="J22" s="1">
        <v>32</v>
      </c>
      <c r="K22" s="1" t="s">
        <v>34</v>
      </c>
      <c r="L22" s="2">
        <v>46325</v>
      </c>
      <c r="M22" s="1">
        <v>3</v>
      </c>
      <c r="N22" s="1" t="s">
        <v>22</v>
      </c>
      <c r="O22" s="3" t="s">
        <v>23</v>
      </c>
    </row>
    <row r="23" spans="1:15" x14ac:dyDescent="0.3">
      <c r="A23" s="18">
        <v>46268.331655092596</v>
      </c>
      <c r="B23" s="19" t="s">
        <v>40</v>
      </c>
      <c r="C23" s="15">
        <v>28.6129</v>
      </c>
      <c r="D23" s="1">
        <v>77.229500000000002</v>
      </c>
      <c r="E23" s="1" t="s">
        <v>43</v>
      </c>
      <c r="F23" s="1" t="s">
        <v>58</v>
      </c>
      <c r="G23" s="1" t="s">
        <v>18</v>
      </c>
      <c r="H23" s="1" t="s">
        <v>32</v>
      </c>
      <c r="I23" s="1" t="s">
        <v>20</v>
      </c>
      <c r="J23" s="1">
        <v>33</v>
      </c>
      <c r="K23" s="1" t="s">
        <v>39</v>
      </c>
      <c r="L23" s="2">
        <v>46325</v>
      </c>
      <c r="M23" s="1">
        <v>2</v>
      </c>
      <c r="N23" s="1" t="s">
        <v>22</v>
      </c>
      <c r="O23" s="3" t="s">
        <v>23</v>
      </c>
    </row>
    <row r="24" spans="1:15" x14ac:dyDescent="0.3">
      <c r="A24" s="18">
        <v>46287.567835648151</v>
      </c>
      <c r="B24" s="19" t="s">
        <v>46</v>
      </c>
      <c r="C24" s="15">
        <v>28.571400000000001</v>
      </c>
      <c r="D24" s="1">
        <v>77.281300000000002</v>
      </c>
      <c r="E24" s="1" t="s">
        <v>47</v>
      </c>
      <c r="F24" s="1" t="s">
        <v>48</v>
      </c>
      <c r="G24" s="1" t="s">
        <v>18</v>
      </c>
      <c r="H24" s="1" t="s">
        <v>32</v>
      </c>
      <c r="I24" s="1" t="s">
        <v>20</v>
      </c>
      <c r="J24" s="1">
        <v>42</v>
      </c>
      <c r="K24" s="1" t="s">
        <v>21</v>
      </c>
      <c r="L24" s="2">
        <v>46325</v>
      </c>
      <c r="M24" s="1">
        <v>1</v>
      </c>
      <c r="N24" s="1" t="s">
        <v>22</v>
      </c>
      <c r="O24" s="3" t="s">
        <v>23</v>
      </c>
    </row>
    <row r="25" spans="1:15" x14ac:dyDescent="0.3">
      <c r="A25" s="18">
        <v>46279.552766203706</v>
      </c>
      <c r="B25" s="19" t="s">
        <v>42</v>
      </c>
      <c r="C25" s="15">
        <v>28.6328</v>
      </c>
      <c r="D25" s="1">
        <v>77.219499999999996</v>
      </c>
      <c r="E25" s="1" t="s">
        <v>16</v>
      </c>
      <c r="F25" s="1" t="s">
        <v>26</v>
      </c>
      <c r="G25" s="1" t="s">
        <v>18</v>
      </c>
      <c r="H25" s="1" t="s">
        <v>27</v>
      </c>
      <c r="I25" s="1" t="s">
        <v>20</v>
      </c>
      <c r="J25" s="1">
        <v>24</v>
      </c>
      <c r="K25" s="1" t="s">
        <v>39</v>
      </c>
      <c r="L25" s="2">
        <v>46325</v>
      </c>
      <c r="M25" s="1">
        <v>0</v>
      </c>
      <c r="N25" s="1" t="s">
        <v>22</v>
      </c>
      <c r="O25" s="3" t="s">
        <v>23</v>
      </c>
    </row>
    <row r="26" spans="1:15" x14ac:dyDescent="0.3">
      <c r="A26" s="18">
        <v>46275.472361111111</v>
      </c>
      <c r="B26" s="19" t="s">
        <v>29</v>
      </c>
      <c r="C26" s="15">
        <v>28.632999999999999</v>
      </c>
      <c r="D26" s="1">
        <v>77.2196</v>
      </c>
      <c r="E26" s="1" t="s">
        <v>16</v>
      </c>
      <c r="F26" s="1" t="s">
        <v>48</v>
      </c>
      <c r="G26" s="1" t="s">
        <v>45</v>
      </c>
      <c r="H26" s="1" t="s">
        <v>27</v>
      </c>
      <c r="I26" s="1" t="s">
        <v>20</v>
      </c>
      <c r="J26" s="1">
        <v>59</v>
      </c>
      <c r="K26" s="1" t="s">
        <v>21</v>
      </c>
      <c r="L26" s="2">
        <v>46324</v>
      </c>
      <c r="M26" s="1">
        <v>23</v>
      </c>
      <c r="N26" s="1" t="s">
        <v>59</v>
      </c>
      <c r="O26" s="3" t="s">
        <v>23</v>
      </c>
    </row>
    <row r="27" spans="1:15" x14ac:dyDescent="0.3">
      <c r="A27" s="18">
        <v>46274.743715277778</v>
      </c>
      <c r="B27" s="19" t="s">
        <v>29</v>
      </c>
      <c r="C27" s="15">
        <v>28.5562</v>
      </c>
      <c r="D27" s="1">
        <v>77.099999999999994</v>
      </c>
      <c r="E27" s="1" t="s">
        <v>38</v>
      </c>
      <c r="F27" s="1" t="s">
        <v>26</v>
      </c>
      <c r="G27" s="1" t="s">
        <v>45</v>
      </c>
      <c r="H27" s="1" t="s">
        <v>32</v>
      </c>
      <c r="I27" s="1" t="s">
        <v>20</v>
      </c>
      <c r="J27" s="1">
        <v>56</v>
      </c>
      <c r="K27" s="1" t="s">
        <v>21</v>
      </c>
      <c r="L27" s="2">
        <v>46324</v>
      </c>
      <c r="M27" s="1">
        <v>22</v>
      </c>
      <c r="N27" s="1" t="s">
        <v>59</v>
      </c>
      <c r="O27" s="3" t="s">
        <v>23</v>
      </c>
    </row>
    <row r="28" spans="1:15" x14ac:dyDescent="0.3">
      <c r="A28" s="18">
        <v>46278.241203703707</v>
      </c>
      <c r="B28" s="19" t="s">
        <v>42</v>
      </c>
      <c r="C28" s="15">
        <v>28.656199999999998</v>
      </c>
      <c r="D28" s="1">
        <v>77.231499999999997</v>
      </c>
      <c r="E28" s="1" t="s">
        <v>55</v>
      </c>
      <c r="F28" s="1" t="s">
        <v>48</v>
      </c>
      <c r="G28" s="1" t="s">
        <v>50</v>
      </c>
      <c r="H28" s="1" t="s">
        <v>27</v>
      </c>
      <c r="I28" s="1" t="s">
        <v>20</v>
      </c>
      <c r="J28" s="1">
        <v>43</v>
      </c>
      <c r="K28" s="1" t="s">
        <v>34</v>
      </c>
      <c r="L28" s="2">
        <v>46324</v>
      </c>
      <c r="M28" s="1">
        <v>21</v>
      </c>
      <c r="N28" s="1" t="s">
        <v>59</v>
      </c>
      <c r="O28" s="3" t="s">
        <v>23</v>
      </c>
    </row>
    <row r="29" spans="1:15" x14ac:dyDescent="0.3">
      <c r="A29" s="18">
        <v>46275.763819444444</v>
      </c>
      <c r="B29" s="19" t="s">
        <v>46</v>
      </c>
      <c r="C29" s="15">
        <v>28.545300000000001</v>
      </c>
      <c r="D29" s="1">
        <v>77.192499999999995</v>
      </c>
      <c r="E29" s="1" t="s">
        <v>41</v>
      </c>
      <c r="F29" s="1" t="s">
        <v>26</v>
      </c>
      <c r="G29" s="1" t="s">
        <v>45</v>
      </c>
      <c r="H29" s="1" t="s">
        <v>27</v>
      </c>
      <c r="I29" s="1" t="s">
        <v>20</v>
      </c>
      <c r="J29" s="1">
        <v>28</v>
      </c>
      <c r="K29" s="1" t="s">
        <v>39</v>
      </c>
      <c r="L29" s="2">
        <v>46324</v>
      </c>
      <c r="M29" s="1">
        <v>21</v>
      </c>
      <c r="N29" s="1" t="s">
        <v>59</v>
      </c>
      <c r="O29" s="3" t="s">
        <v>23</v>
      </c>
    </row>
    <row r="30" spans="1:15" x14ac:dyDescent="0.3">
      <c r="A30" s="18">
        <v>46284.21607638889</v>
      </c>
      <c r="B30" s="19" t="s">
        <v>37</v>
      </c>
      <c r="C30" s="15">
        <v>28.567599999999999</v>
      </c>
      <c r="D30" s="1">
        <v>77.209599999999995</v>
      </c>
      <c r="E30" s="1" t="s">
        <v>25</v>
      </c>
      <c r="F30" s="1" t="s">
        <v>17</v>
      </c>
      <c r="G30" s="1" t="s">
        <v>50</v>
      </c>
      <c r="H30" s="1" t="s">
        <v>27</v>
      </c>
      <c r="I30" s="1" t="s">
        <v>20</v>
      </c>
      <c r="J30" s="1">
        <v>68</v>
      </c>
      <c r="K30" s="1" t="s">
        <v>21</v>
      </c>
      <c r="L30" s="2">
        <v>46324</v>
      </c>
      <c r="M30" s="1">
        <v>19</v>
      </c>
      <c r="N30" s="1" t="s">
        <v>59</v>
      </c>
      <c r="O30" s="3" t="s">
        <v>28</v>
      </c>
    </row>
    <row r="31" spans="1:15" x14ac:dyDescent="0.3">
      <c r="A31" s="18">
        <v>46285.236180555556</v>
      </c>
      <c r="B31" s="19" t="s">
        <v>40</v>
      </c>
      <c r="C31" s="15">
        <v>28.6328</v>
      </c>
      <c r="D31" s="1">
        <v>77.219499999999996</v>
      </c>
      <c r="E31" s="1" t="s">
        <v>16</v>
      </c>
      <c r="F31" s="1" t="s">
        <v>53</v>
      </c>
      <c r="G31" s="1" t="s">
        <v>45</v>
      </c>
      <c r="H31" s="1" t="s">
        <v>32</v>
      </c>
      <c r="I31" s="1" t="s">
        <v>33</v>
      </c>
      <c r="J31" s="1">
        <v>48</v>
      </c>
      <c r="K31" s="1" t="s">
        <v>39</v>
      </c>
      <c r="L31" s="2">
        <v>46324</v>
      </c>
      <c r="M31" s="1">
        <v>16</v>
      </c>
      <c r="N31" s="1" t="s">
        <v>59</v>
      </c>
      <c r="O31" s="3" t="s">
        <v>51</v>
      </c>
    </row>
    <row r="32" spans="1:15" x14ac:dyDescent="0.3">
      <c r="A32" s="18">
        <v>46267.311562499999</v>
      </c>
      <c r="B32" s="19" t="s">
        <v>15</v>
      </c>
      <c r="C32" s="15">
        <v>28.571400000000001</v>
      </c>
      <c r="D32" s="1">
        <v>77.281300000000002</v>
      </c>
      <c r="E32" s="1" t="s">
        <v>47</v>
      </c>
      <c r="F32" s="1" t="s">
        <v>44</v>
      </c>
      <c r="G32" s="1" t="s">
        <v>18</v>
      </c>
      <c r="H32" s="1" t="s">
        <v>27</v>
      </c>
      <c r="I32" s="1" t="s">
        <v>49</v>
      </c>
      <c r="J32" s="1">
        <v>54</v>
      </c>
      <c r="K32" s="1" t="s">
        <v>34</v>
      </c>
      <c r="L32" s="2">
        <v>46324</v>
      </c>
      <c r="M32" s="1">
        <v>15</v>
      </c>
      <c r="N32" s="1" t="s">
        <v>59</v>
      </c>
      <c r="O32" s="3" t="s">
        <v>51</v>
      </c>
    </row>
    <row r="33" spans="1:15" x14ac:dyDescent="0.3">
      <c r="A33" s="18">
        <v>46268.623113425929</v>
      </c>
      <c r="B33" s="19" t="s">
        <v>46</v>
      </c>
      <c r="C33" s="15">
        <v>28.571400000000001</v>
      </c>
      <c r="D33" s="1">
        <v>77.281300000000002</v>
      </c>
      <c r="E33" s="1" t="s">
        <v>47</v>
      </c>
      <c r="F33" s="1" t="s">
        <v>53</v>
      </c>
      <c r="G33" s="1" t="s">
        <v>18</v>
      </c>
      <c r="H33" s="1" t="s">
        <v>27</v>
      </c>
      <c r="I33" s="1" t="s">
        <v>20</v>
      </c>
      <c r="J33" s="1">
        <v>58</v>
      </c>
      <c r="K33" s="1" t="s">
        <v>39</v>
      </c>
      <c r="L33" s="2">
        <v>46324</v>
      </c>
      <c r="M33" s="1">
        <v>14</v>
      </c>
      <c r="N33" s="1" t="s">
        <v>59</v>
      </c>
      <c r="O33" s="3" t="s">
        <v>51</v>
      </c>
    </row>
    <row r="34" spans="1:15" x14ac:dyDescent="0.3">
      <c r="A34" s="18">
        <v>46274.015081018515</v>
      </c>
      <c r="B34" s="19" t="s">
        <v>42</v>
      </c>
      <c r="C34" s="15">
        <v>28.567599999999999</v>
      </c>
      <c r="D34" s="1">
        <v>77.209599999999995</v>
      </c>
      <c r="E34" s="1" t="s">
        <v>25</v>
      </c>
      <c r="F34" s="1" t="s">
        <v>58</v>
      </c>
      <c r="G34" s="1" t="s">
        <v>18</v>
      </c>
      <c r="H34" s="1" t="s">
        <v>32</v>
      </c>
      <c r="I34" s="1" t="s">
        <v>20</v>
      </c>
      <c r="J34" s="1">
        <v>46</v>
      </c>
      <c r="K34" s="1" t="s">
        <v>34</v>
      </c>
      <c r="L34" s="2">
        <v>46324</v>
      </c>
      <c r="M34" s="1">
        <v>14</v>
      </c>
      <c r="N34" s="1" t="s">
        <v>59</v>
      </c>
      <c r="O34" s="3" t="s">
        <v>51</v>
      </c>
    </row>
    <row r="35" spans="1:15" x14ac:dyDescent="0.3">
      <c r="A35" s="18">
        <v>46276.929652777777</v>
      </c>
      <c r="B35" s="19" t="s">
        <v>29</v>
      </c>
      <c r="C35" s="15">
        <v>28.545300000000001</v>
      </c>
      <c r="D35" s="1">
        <v>77.192499999999995</v>
      </c>
      <c r="E35" s="1" t="s">
        <v>41</v>
      </c>
      <c r="F35" s="1" t="s">
        <v>26</v>
      </c>
      <c r="G35" s="1" t="s">
        <v>45</v>
      </c>
      <c r="H35" s="1" t="s">
        <v>32</v>
      </c>
      <c r="I35" s="1" t="s">
        <v>20</v>
      </c>
      <c r="J35" s="1">
        <v>37</v>
      </c>
      <c r="K35" s="1" t="s">
        <v>21</v>
      </c>
      <c r="L35" s="2">
        <v>46324</v>
      </c>
      <c r="M35" s="1">
        <v>13</v>
      </c>
      <c r="N35" s="1" t="s">
        <v>59</v>
      </c>
      <c r="O35" s="3" t="s">
        <v>51</v>
      </c>
    </row>
    <row r="36" spans="1:15" x14ac:dyDescent="0.3">
      <c r="A36" s="18">
        <v>46287.859293981484</v>
      </c>
      <c r="B36" s="19" t="s">
        <v>42</v>
      </c>
      <c r="C36" s="15">
        <v>28.6129</v>
      </c>
      <c r="D36" s="1">
        <v>77.229500000000002</v>
      </c>
      <c r="E36" s="1" t="s">
        <v>43</v>
      </c>
      <c r="F36" s="1" t="s">
        <v>52</v>
      </c>
      <c r="G36" s="1" t="s">
        <v>18</v>
      </c>
      <c r="H36" s="1" t="s">
        <v>32</v>
      </c>
      <c r="I36" s="1" t="s">
        <v>33</v>
      </c>
      <c r="J36" s="1">
        <v>66</v>
      </c>
      <c r="K36" s="1" t="s">
        <v>34</v>
      </c>
      <c r="L36" s="2">
        <v>46324</v>
      </c>
      <c r="M36" s="1">
        <v>10</v>
      </c>
      <c r="N36" s="1" t="s">
        <v>59</v>
      </c>
      <c r="O36" s="3" t="s">
        <v>57</v>
      </c>
    </row>
    <row r="37" spans="1:15" x14ac:dyDescent="0.3">
      <c r="A37" s="18">
        <v>46281.155775462961</v>
      </c>
      <c r="B37" s="19" t="s">
        <v>46</v>
      </c>
      <c r="C37" s="15">
        <v>28.5562</v>
      </c>
      <c r="D37" s="1">
        <v>77.099999999999994</v>
      </c>
      <c r="E37" s="1" t="s">
        <v>38</v>
      </c>
      <c r="F37" s="1" t="s">
        <v>52</v>
      </c>
      <c r="G37" s="1" t="s">
        <v>18</v>
      </c>
      <c r="H37" s="1" t="s">
        <v>32</v>
      </c>
      <c r="I37" s="1" t="s">
        <v>49</v>
      </c>
      <c r="J37" s="1">
        <v>52</v>
      </c>
      <c r="K37" s="1" t="s">
        <v>21</v>
      </c>
      <c r="L37" s="2">
        <v>46324</v>
      </c>
      <c r="M37" s="1">
        <v>1</v>
      </c>
      <c r="N37" s="1" t="s">
        <v>59</v>
      </c>
      <c r="O37" s="3" t="s">
        <v>23</v>
      </c>
    </row>
    <row r="38" spans="1:15" x14ac:dyDescent="0.3">
      <c r="A38" s="18">
        <v>46285.673368055555</v>
      </c>
      <c r="B38" s="19" t="s">
        <v>40</v>
      </c>
      <c r="C38" s="15">
        <v>28.5562</v>
      </c>
      <c r="D38" s="1">
        <v>77.099999999999994</v>
      </c>
      <c r="E38" s="1" t="s">
        <v>38</v>
      </c>
      <c r="F38" s="1" t="s">
        <v>30</v>
      </c>
      <c r="G38" s="1" t="s">
        <v>18</v>
      </c>
      <c r="H38" s="1" t="s">
        <v>27</v>
      </c>
      <c r="I38" s="1" t="s">
        <v>56</v>
      </c>
      <c r="J38" s="1">
        <v>66</v>
      </c>
      <c r="K38" s="1" t="s">
        <v>34</v>
      </c>
      <c r="L38" s="2">
        <v>46324</v>
      </c>
      <c r="M38" s="1">
        <v>0</v>
      </c>
      <c r="N38" s="1" t="s">
        <v>59</v>
      </c>
      <c r="O38" s="3" t="s">
        <v>23</v>
      </c>
    </row>
    <row r="39" spans="1:15" x14ac:dyDescent="0.3">
      <c r="A39" s="18">
        <v>46285.964826388888</v>
      </c>
      <c r="B39" s="19" t="s">
        <v>15</v>
      </c>
      <c r="C39" s="15">
        <v>28.5562</v>
      </c>
      <c r="D39" s="1">
        <v>77.099999999999994</v>
      </c>
      <c r="E39" s="1" t="s">
        <v>38</v>
      </c>
      <c r="F39" s="1" t="s">
        <v>58</v>
      </c>
      <c r="G39" s="1" t="s">
        <v>50</v>
      </c>
      <c r="H39" s="1" t="s">
        <v>32</v>
      </c>
      <c r="I39" s="1" t="s">
        <v>20</v>
      </c>
      <c r="J39" s="1">
        <v>22</v>
      </c>
      <c r="K39" s="1" t="s">
        <v>34</v>
      </c>
      <c r="L39" s="2">
        <v>46323</v>
      </c>
      <c r="M39" s="1">
        <v>23</v>
      </c>
      <c r="N39" s="1" t="s">
        <v>60</v>
      </c>
      <c r="O39" s="3" t="s">
        <v>23</v>
      </c>
    </row>
    <row r="40" spans="1:15" x14ac:dyDescent="0.3">
      <c r="A40" s="18">
        <v>46289.899502314816</v>
      </c>
      <c r="B40" s="19" t="s">
        <v>15</v>
      </c>
      <c r="C40" s="15">
        <v>28.6328</v>
      </c>
      <c r="D40" s="1">
        <v>77.219499999999996</v>
      </c>
      <c r="E40" s="1" t="s">
        <v>16</v>
      </c>
      <c r="F40" s="1" t="s">
        <v>48</v>
      </c>
      <c r="G40" s="1" t="s">
        <v>31</v>
      </c>
      <c r="H40" s="1" t="s">
        <v>32</v>
      </c>
      <c r="I40" s="1" t="s">
        <v>20</v>
      </c>
      <c r="J40" s="1">
        <v>26</v>
      </c>
      <c r="K40" s="1" t="s">
        <v>34</v>
      </c>
      <c r="L40" s="2">
        <v>46323</v>
      </c>
      <c r="M40" s="1">
        <v>20</v>
      </c>
      <c r="N40" s="1" t="s">
        <v>60</v>
      </c>
      <c r="O40" s="3" t="s">
        <v>28</v>
      </c>
    </row>
    <row r="41" spans="1:15" x14ac:dyDescent="0.3">
      <c r="A41" s="18">
        <v>46277.075381944444</v>
      </c>
      <c r="B41" s="19" t="s">
        <v>29</v>
      </c>
      <c r="C41" s="15">
        <v>28.632999999999999</v>
      </c>
      <c r="D41" s="1">
        <v>77.2196</v>
      </c>
      <c r="E41" s="1" t="s">
        <v>16</v>
      </c>
      <c r="F41" s="1" t="s">
        <v>26</v>
      </c>
      <c r="G41" s="1" t="s">
        <v>18</v>
      </c>
      <c r="H41" s="1" t="s">
        <v>32</v>
      </c>
      <c r="I41" s="1" t="s">
        <v>20</v>
      </c>
      <c r="J41" s="1">
        <v>65</v>
      </c>
      <c r="K41" s="1" t="s">
        <v>34</v>
      </c>
      <c r="L41" s="2">
        <v>46323</v>
      </c>
      <c r="M41" s="1">
        <v>18</v>
      </c>
      <c r="N41" s="1" t="s">
        <v>60</v>
      </c>
      <c r="O41" s="3" t="s">
        <v>28</v>
      </c>
    </row>
    <row r="42" spans="1:15" x14ac:dyDescent="0.3">
      <c r="A42" s="18">
        <v>46277.512557870374</v>
      </c>
      <c r="B42" s="19" t="s">
        <v>24</v>
      </c>
      <c r="C42" s="15">
        <v>28.545300000000001</v>
      </c>
      <c r="D42" s="1">
        <v>77.192499999999995</v>
      </c>
      <c r="E42" s="1" t="s">
        <v>41</v>
      </c>
      <c r="F42" s="1" t="s">
        <v>44</v>
      </c>
      <c r="G42" s="1" t="s">
        <v>50</v>
      </c>
      <c r="H42" s="1" t="s">
        <v>32</v>
      </c>
      <c r="I42" s="1" t="s">
        <v>33</v>
      </c>
      <c r="J42" s="1">
        <v>59</v>
      </c>
      <c r="K42" s="1" t="s">
        <v>21</v>
      </c>
      <c r="L42" s="2">
        <v>46323</v>
      </c>
      <c r="M42" s="1">
        <v>18</v>
      </c>
      <c r="N42" s="1" t="s">
        <v>60</v>
      </c>
      <c r="O42" s="3" t="s">
        <v>28</v>
      </c>
    </row>
    <row r="43" spans="1:15" x14ac:dyDescent="0.3">
      <c r="A43" s="18">
        <v>46294.708541666667</v>
      </c>
      <c r="B43" s="19" t="s">
        <v>42</v>
      </c>
      <c r="C43" s="15">
        <v>28.571400000000001</v>
      </c>
      <c r="D43" s="1">
        <v>77.281300000000002</v>
      </c>
      <c r="E43" s="1" t="s">
        <v>47</v>
      </c>
      <c r="F43" s="1" t="s">
        <v>17</v>
      </c>
      <c r="G43" s="1" t="s">
        <v>18</v>
      </c>
      <c r="H43" s="1" t="s">
        <v>27</v>
      </c>
      <c r="I43" s="1" t="s">
        <v>20</v>
      </c>
      <c r="J43" s="1">
        <v>32</v>
      </c>
      <c r="K43" s="1" t="s">
        <v>21</v>
      </c>
      <c r="L43" s="2">
        <v>46323</v>
      </c>
      <c r="M43" s="1">
        <v>18</v>
      </c>
      <c r="N43" s="1" t="s">
        <v>60</v>
      </c>
      <c r="O43" s="3" t="s">
        <v>28</v>
      </c>
    </row>
    <row r="44" spans="1:15" x14ac:dyDescent="0.3">
      <c r="A44" s="18">
        <v>46271.537685185183</v>
      </c>
      <c r="B44" s="19" t="s">
        <v>15</v>
      </c>
      <c r="C44" s="15">
        <v>28.632999999999999</v>
      </c>
      <c r="D44" s="1">
        <v>77.2196</v>
      </c>
      <c r="E44" s="1" t="s">
        <v>16</v>
      </c>
      <c r="F44" s="1" t="s">
        <v>26</v>
      </c>
      <c r="G44" s="1" t="s">
        <v>18</v>
      </c>
      <c r="H44" s="1" t="s">
        <v>27</v>
      </c>
      <c r="I44" s="1" t="s">
        <v>20</v>
      </c>
      <c r="J44" s="1">
        <v>34</v>
      </c>
      <c r="K44" s="1" t="s">
        <v>39</v>
      </c>
      <c r="L44" s="2">
        <v>46323</v>
      </c>
      <c r="M44" s="1">
        <v>17</v>
      </c>
      <c r="N44" s="1" t="s">
        <v>60</v>
      </c>
      <c r="O44" s="3" t="s">
        <v>28</v>
      </c>
    </row>
    <row r="45" spans="1:15" x14ac:dyDescent="0.3">
      <c r="A45" s="18">
        <v>46269.497488425928</v>
      </c>
      <c r="B45" s="19" t="s">
        <v>46</v>
      </c>
      <c r="C45" s="15">
        <v>28.632999999999999</v>
      </c>
      <c r="D45" s="1">
        <v>77.2196</v>
      </c>
      <c r="E45" s="1" t="s">
        <v>16</v>
      </c>
      <c r="F45" s="1" t="s">
        <v>48</v>
      </c>
      <c r="G45" s="1" t="s">
        <v>50</v>
      </c>
      <c r="H45" s="1" t="s">
        <v>32</v>
      </c>
      <c r="I45" s="1" t="s">
        <v>20</v>
      </c>
      <c r="J45" s="1">
        <v>66</v>
      </c>
      <c r="K45" s="1" t="s">
        <v>34</v>
      </c>
      <c r="L45" s="2">
        <v>46323</v>
      </c>
      <c r="M45" s="1">
        <v>12</v>
      </c>
      <c r="N45" s="1" t="s">
        <v>60</v>
      </c>
      <c r="O45" s="3" t="s">
        <v>51</v>
      </c>
    </row>
    <row r="46" spans="1:15" x14ac:dyDescent="0.3">
      <c r="A46" s="18">
        <v>46283.77888888889</v>
      </c>
      <c r="B46" s="19" t="s">
        <v>15</v>
      </c>
      <c r="C46" s="15">
        <v>28.5562</v>
      </c>
      <c r="D46" s="1">
        <v>77.099999999999994</v>
      </c>
      <c r="E46" s="1" t="s">
        <v>38</v>
      </c>
      <c r="F46" s="1" t="s">
        <v>26</v>
      </c>
      <c r="G46" s="1" t="s">
        <v>18</v>
      </c>
      <c r="H46" s="1" t="s">
        <v>61</v>
      </c>
      <c r="I46" s="1" t="s">
        <v>20</v>
      </c>
      <c r="J46" s="1">
        <v>44</v>
      </c>
      <c r="K46" s="1" t="s">
        <v>39</v>
      </c>
      <c r="L46" s="2">
        <v>46323</v>
      </c>
      <c r="M46" s="1">
        <v>12</v>
      </c>
      <c r="N46" s="1" t="s">
        <v>60</v>
      </c>
      <c r="O46" s="3" t="s">
        <v>51</v>
      </c>
    </row>
    <row r="47" spans="1:15" x14ac:dyDescent="0.3">
      <c r="A47" s="18">
        <v>46294.417083333334</v>
      </c>
      <c r="B47" s="19" t="s">
        <v>54</v>
      </c>
      <c r="C47" s="15">
        <v>28.6328</v>
      </c>
      <c r="D47" s="1">
        <v>77.219499999999996</v>
      </c>
      <c r="E47" s="1" t="s">
        <v>16</v>
      </c>
      <c r="F47" s="1" t="s">
        <v>58</v>
      </c>
      <c r="G47" s="1" t="s">
        <v>45</v>
      </c>
      <c r="H47" s="1" t="s">
        <v>32</v>
      </c>
      <c r="I47" s="1" t="s">
        <v>20</v>
      </c>
      <c r="J47" s="1">
        <v>41</v>
      </c>
      <c r="K47" s="1" t="s">
        <v>39</v>
      </c>
      <c r="L47" s="2">
        <v>46323</v>
      </c>
      <c r="M47" s="1">
        <v>12</v>
      </c>
      <c r="N47" s="1" t="s">
        <v>60</v>
      </c>
      <c r="O47" s="3" t="s">
        <v>51</v>
      </c>
    </row>
    <row r="48" spans="1:15" x14ac:dyDescent="0.3">
      <c r="A48" s="18">
        <v>46270.226134259261</v>
      </c>
      <c r="B48" s="19" t="s">
        <v>15</v>
      </c>
      <c r="C48" s="15">
        <v>28.545300000000001</v>
      </c>
      <c r="D48" s="1">
        <v>77.192499999999995</v>
      </c>
      <c r="E48" s="1" t="s">
        <v>41</v>
      </c>
      <c r="F48" s="1" t="s">
        <v>17</v>
      </c>
      <c r="G48" s="1" t="s">
        <v>18</v>
      </c>
      <c r="H48" s="1" t="s">
        <v>61</v>
      </c>
      <c r="I48" s="1" t="s">
        <v>20</v>
      </c>
      <c r="J48" s="1">
        <v>38</v>
      </c>
      <c r="K48" s="1" t="s">
        <v>21</v>
      </c>
      <c r="L48" s="2">
        <v>46323</v>
      </c>
      <c r="M48" s="1">
        <v>10</v>
      </c>
      <c r="N48" s="1" t="s">
        <v>60</v>
      </c>
      <c r="O48" s="3" t="s">
        <v>57</v>
      </c>
    </row>
    <row r="49" spans="1:15" x14ac:dyDescent="0.3">
      <c r="A49" s="18">
        <v>46268.768842592595</v>
      </c>
      <c r="B49" s="19" t="s">
        <v>42</v>
      </c>
      <c r="C49" s="15">
        <v>28.6328</v>
      </c>
      <c r="D49" s="1">
        <v>77.219499999999996</v>
      </c>
      <c r="E49" s="1" t="s">
        <v>16</v>
      </c>
      <c r="F49" s="1" t="s">
        <v>30</v>
      </c>
      <c r="G49" s="1" t="s">
        <v>45</v>
      </c>
      <c r="H49" s="1" t="s">
        <v>19</v>
      </c>
      <c r="I49" s="1" t="s">
        <v>33</v>
      </c>
      <c r="J49" s="1">
        <v>69</v>
      </c>
      <c r="K49" s="1" t="s">
        <v>21</v>
      </c>
      <c r="L49" s="2">
        <v>46323</v>
      </c>
      <c r="M49" s="1">
        <v>10</v>
      </c>
      <c r="N49" s="1" t="s">
        <v>60</v>
      </c>
      <c r="O49" s="3" t="s">
        <v>57</v>
      </c>
    </row>
    <row r="50" spans="1:15" x14ac:dyDescent="0.3">
      <c r="A50" s="18">
        <v>46286.839201388888</v>
      </c>
      <c r="B50" s="19" t="s">
        <v>40</v>
      </c>
      <c r="C50" s="15">
        <v>28.5562</v>
      </c>
      <c r="D50" s="1">
        <v>77.099999999999994</v>
      </c>
      <c r="E50" s="1" t="s">
        <v>38</v>
      </c>
      <c r="F50" s="1" t="s">
        <v>26</v>
      </c>
      <c r="G50" s="1" t="s">
        <v>45</v>
      </c>
      <c r="H50" s="1" t="s">
        <v>32</v>
      </c>
      <c r="I50" s="1" t="s">
        <v>20</v>
      </c>
      <c r="J50" s="1">
        <v>26</v>
      </c>
      <c r="K50" s="1" t="s">
        <v>21</v>
      </c>
      <c r="L50" s="2">
        <v>46323</v>
      </c>
      <c r="M50" s="1">
        <v>6</v>
      </c>
      <c r="N50" s="1" t="s">
        <v>60</v>
      </c>
      <c r="O50" s="3" t="s">
        <v>57</v>
      </c>
    </row>
    <row r="51" spans="1:15" x14ac:dyDescent="0.3">
      <c r="A51" s="18">
        <v>46278.53266203704</v>
      </c>
      <c r="B51" s="19" t="s">
        <v>37</v>
      </c>
      <c r="C51" s="15">
        <v>28.632999999999999</v>
      </c>
      <c r="D51" s="1">
        <v>77.2196</v>
      </c>
      <c r="E51" s="1" t="s">
        <v>16</v>
      </c>
      <c r="F51" s="1" t="s">
        <v>53</v>
      </c>
      <c r="G51" s="1" t="s">
        <v>45</v>
      </c>
      <c r="H51" s="1" t="s">
        <v>32</v>
      </c>
      <c r="I51" s="1" t="s">
        <v>33</v>
      </c>
      <c r="J51" s="1">
        <v>33</v>
      </c>
      <c r="K51" s="1" t="s">
        <v>34</v>
      </c>
      <c r="L51" s="2">
        <v>46323</v>
      </c>
      <c r="M51" s="1">
        <v>6</v>
      </c>
      <c r="N51" s="1" t="s">
        <v>60</v>
      </c>
      <c r="O51" s="3" t="s">
        <v>57</v>
      </c>
    </row>
    <row r="52" spans="1:15" x14ac:dyDescent="0.3">
      <c r="A52" s="18">
        <v>46282.613067129627</v>
      </c>
      <c r="B52" s="19" t="s">
        <v>29</v>
      </c>
      <c r="C52" s="15">
        <v>28.5562</v>
      </c>
      <c r="D52" s="1">
        <v>77.099999999999994</v>
      </c>
      <c r="E52" s="1" t="s">
        <v>38</v>
      </c>
      <c r="F52" s="1" t="s">
        <v>30</v>
      </c>
      <c r="G52" s="1" t="s">
        <v>50</v>
      </c>
      <c r="H52" s="1" t="s">
        <v>32</v>
      </c>
      <c r="I52" s="1" t="s">
        <v>33</v>
      </c>
      <c r="J52" s="1">
        <v>53</v>
      </c>
      <c r="K52" s="1" t="s">
        <v>34</v>
      </c>
      <c r="L52" s="2">
        <v>46323</v>
      </c>
      <c r="M52" s="1">
        <v>3</v>
      </c>
      <c r="N52" s="1" t="s">
        <v>60</v>
      </c>
      <c r="O52" s="3" t="s">
        <v>23</v>
      </c>
    </row>
    <row r="53" spans="1:15" x14ac:dyDescent="0.3">
      <c r="A53" s="18">
        <v>46291.211053240739</v>
      </c>
      <c r="B53" s="19" t="s">
        <v>29</v>
      </c>
      <c r="C53" s="15">
        <v>28.567599999999999</v>
      </c>
      <c r="D53" s="1">
        <v>77.209599999999995</v>
      </c>
      <c r="E53" s="1" t="s">
        <v>25</v>
      </c>
      <c r="F53" s="1" t="s">
        <v>17</v>
      </c>
      <c r="G53" s="1" t="s">
        <v>50</v>
      </c>
      <c r="H53" s="1" t="s">
        <v>27</v>
      </c>
      <c r="I53" s="1" t="s">
        <v>20</v>
      </c>
      <c r="J53" s="1">
        <v>23</v>
      </c>
      <c r="K53" s="1" t="s">
        <v>21</v>
      </c>
      <c r="L53" s="2">
        <v>46323</v>
      </c>
      <c r="M53" s="1">
        <v>1</v>
      </c>
      <c r="N53" s="1" t="s">
        <v>60</v>
      </c>
      <c r="O53" s="3" t="s">
        <v>23</v>
      </c>
    </row>
    <row r="54" spans="1:15" x14ac:dyDescent="0.3">
      <c r="A54" s="18">
        <v>46266.728645833333</v>
      </c>
      <c r="B54" s="19" t="s">
        <v>42</v>
      </c>
      <c r="C54" s="15">
        <v>28.545300000000001</v>
      </c>
      <c r="D54" s="1">
        <v>77.192499999999995</v>
      </c>
      <c r="E54" s="1" t="s">
        <v>41</v>
      </c>
      <c r="F54" s="1" t="s">
        <v>58</v>
      </c>
      <c r="G54" s="1" t="s">
        <v>50</v>
      </c>
      <c r="H54" s="1" t="s">
        <v>32</v>
      </c>
      <c r="I54" s="1" t="s">
        <v>20</v>
      </c>
      <c r="J54" s="1">
        <v>59</v>
      </c>
      <c r="K54" s="1" t="s">
        <v>34</v>
      </c>
      <c r="L54" s="2">
        <v>46323</v>
      </c>
      <c r="M54" s="1">
        <v>0</v>
      </c>
      <c r="N54" s="1" t="s">
        <v>60</v>
      </c>
      <c r="O54" s="3" t="s">
        <v>23</v>
      </c>
    </row>
    <row r="55" spans="1:15" x14ac:dyDescent="0.3">
      <c r="A55" s="18">
        <v>46284.361805555556</v>
      </c>
      <c r="B55" s="19" t="s">
        <v>46</v>
      </c>
      <c r="C55" s="15">
        <v>28.656199999999998</v>
      </c>
      <c r="D55" s="1">
        <v>77.231499999999997</v>
      </c>
      <c r="E55" s="1" t="s">
        <v>55</v>
      </c>
      <c r="F55" s="1" t="s">
        <v>17</v>
      </c>
      <c r="G55" s="1" t="s">
        <v>45</v>
      </c>
      <c r="H55" s="1" t="s">
        <v>32</v>
      </c>
      <c r="I55" s="1" t="s">
        <v>20</v>
      </c>
      <c r="J55" s="1">
        <v>43</v>
      </c>
      <c r="K55" s="1" t="s">
        <v>21</v>
      </c>
      <c r="L55" s="2">
        <v>46323</v>
      </c>
      <c r="M55" s="1">
        <v>0</v>
      </c>
      <c r="N55" s="1" t="s">
        <v>60</v>
      </c>
      <c r="O55" s="3" t="s">
        <v>23</v>
      </c>
    </row>
    <row r="56" spans="1:15" x14ac:dyDescent="0.3">
      <c r="A56" s="18">
        <v>46283.050254629627</v>
      </c>
      <c r="B56" s="19" t="s">
        <v>40</v>
      </c>
      <c r="C56" s="15">
        <v>28.6129</v>
      </c>
      <c r="D56" s="1">
        <v>77.229500000000002</v>
      </c>
      <c r="E56" s="1" t="s">
        <v>43</v>
      </c>
      <c r="F56" s="1" t="s">
        <v>26</v>
      </c>
      <c r="G56" s="1" t="s">
        <v>45</v>
      </c>
      <c r="H56" s="1" t="s">
        <v>32</v>
      </c>
      <c r="I56" s="1" t="s">
        <v>20</v>
      </c>
      <c r="J56" s="1">
        <v>56</v>
      </c>
      <c r="K56" s="1" t="s">
        <v>34</v>
      </c>
      <c r="L56" s="2">
        <v>46322</v>
      </c>
      <c r="M56" s="1">
        <v>20</v>
      </c>
      <c r="N56" s="1" t="s">
        <v>62</v>
      </c>
      <c r="O56" s="3" t="s">
        <v>28</v>
      </c>
    </row>
    <row r="57" spans="1:15" x14ac:dyDescent="0.3">
      <c r="A57" s="18">
        <v>46276.638194444444</v>
      </c>
      <c r="B57" s="19" t="s">
        <v>40</v>
      </c>
      <c r="C57" s="15">
        <v>28.632999999999999</v>
      </c>
      <c r="D57" s="1">
        <v>77.2196</v>
      </c>
      <c r="E57" s="1" t="s">
        <v>16</v>
      </c>
      <c r="F57" s="1" t="s">
        <v>44</v>
      </c>
      <c r="G57" s="1" t="s">
        <v>50</v>
      </c>
      <c r="H57" s="1" t="s">
        <v>32</v>
      </c>
      <c r="I57" s="1" t="s">
        <v>36</v>
      </c>
      <c r="J57" s="1">
        <v>73</v>
      </c>
      <c r="K57" s="1" t="s">
        <v>39</v>
      </c>
      <c r="L57" s="2">
        <v>46322</v>
      </c>
      <c r="M57" s="1">
        <v>16</v>
      </c>
      <c r="N57" s="1" t="s">
        <v>62</v>
      </c>
      <c r="O57" s="3" t="s">
        <v>51</v>
      </c>
    </row>
    <row r="58" spans="1:15" x14ac:dyDescent="0.3">
      <c r="A58" s="18">
        <v>46286.402013888888</v>
      </c>
      <c r="B58" s="19" t="s">
        <v>40</v>
      </c>
      <c r="C58" s="15">
        <v>28.571400000000001</v>
      </c>
      <c r="D58" s="1">
        <v>77.281300000000002</v>
      </c>
      <c r="E58" s="1" t="s">
        <v>47</v>
      </c>
      <c r="F58" s="1" t="s">
        <v>58</v>
      </c>
      <c r="G58" s="1" t="s">
        <v>18</v>
      </c>
      <c r="H58" s="1" t="s">
        <v>32</v>
      </c>
      <c r="I58" s="1" t="s">
        <v>20</v>
      </c>
      <c r="J58" s="1">
        <v>26</v>
      </c>
      <c r="K58" s="1" t="s">
        <v>39</v>
      </c>
      <c r="L58" s="2">
        <v>46322</v>
      </c>
      <c r="M58" s="1">
        <v>14</v>
      </c>
      <c r="N58" s="1" t="s">
        <v>62</v>
      </c>
      <c r="O58" s="3" t="s">
        <v>51</v>
      </c>
    </row>
    <row r="59" spans="1:15" x14ac:dyDescent="0.3">
      <c r="A59" s="18">
        <v>46280.281412037039</v>
      </c>
      <c r="B59" s="19" t="s">
        <v>40</v>
      </c>
      <c r="C59" s="15">
        <v>28.632999999999999</v>
      </c>
      <c r="D59" s="1">
        <v>77.2196</v>
      </c>
      <c r="E59" s="1" t="s">
        <v>16</v>
      </c>
      <c r="F59" s="1" t="s">
        <v>26</v>
      </c>
      <c r="G59" s="1" t="s">
        <v>18</v>
      </c>
      <c r="H59" s="1" t="s">
        <v>27</v>
      </c>
      <c r="I59" s="1" t="s">
        <v>20</v>
      </c>
      <c r="J59" s="1">
        <v>71</v>
      </c>
      <c r="K59" s="1" t="s">
        <v>21</v>
      </c>
      <c r="L59" s="2">
        <v>46322</v>
      </c>
      <c r="M59" s="1">
        <v>13</v>
      </c>
      <c r="N59" s="1" t="s">
        <v>62</v>
      </c>
      <c r="O59" s="3" t="s">
        <v>51</v>
      </c>
    </row>
    <row r="60" spans="1:15" x14ac:dyDescent="0.3">
      <c r="A60" s="18">
        <v>46291.065324074072</v>
      </c>
      <c r="B60" s="19" t="s">
        <v>29</v>
      </c>
      <c r="C60" s="15">
        <v>28.6328</v>
      </c>
      <c r="D60" s="1">
        <v>77.219499999999996</v>
      </c>
      <c r="E60" s="1" t="s">
        <v>16</v>
      </c>
      <c r="F60" s="1" t="s">
        <v>26</v>
      </c>
      <c r="G60" s="1" t="s">
        <v>18</v>
      </c>
      <c r="H60" s="1" t="s">
        <v>27</v>
      </c>
      <c r="I60" s="1" t="s">
        <v>20</v>
      </c>
      <c r="J60" s="1">
        <v>47</v>
      </c>
      <c r="K60" s="1" t="s">
        <v>34</v>
      </c>
      <c r="L60" s="2">
        <v>46322</v>
      </c>
      <c r="M60" s="1">
        <v>12</v>
      </c>
      <c r="N60" s="1" t="s">
        <v>62</v>
      </c>
      <c r="O60" s="3" t="s">
        <v>51</v>
      </c>
    </row>
    <row r="61" spans="1:15" x14ac:dyDescent="0.3">
      <c r="A61" s="18">
        <v>46279.989953703705</v>
      </c>
      <c r="B61" s="19" t="s">
        <v>42</v>
      </c>
      <c r="C61" s="15">
        <v>28.6328</v>
      </c>
      <c r="D61" s="1">
        <v>77.219499999999996</v>
      </c>
      <c r="E61" s="1" t="s">
        <v>16</v>
      </c>
      <c r="F61" s="1" t="s">
        <v>26</v>
      </c>
      <c r="G61" s="1" t="s">
        <v>45</v>
      </c>
      <c r="H61" s="1" t="s">
        <v>27</v>
      </c>
      <c r="I61" s="1" t="s">
        <v>20</v>
      </c>
      <c r="J61" s="1">
        <v>54</v>
      </c>
      <c r="K61" s="1" t="s">
        <v>39</v>
      </c>
      <c r="L61" s="2">
        <v>46322</v>
      </c>
      <c r="M61" s="1">
        <v>8</v>
      </c>
      <c r="N61" s="1" t="s">
        <v>62</v>
      </c>
      <c r="O61" s="3" t="s">
        <v>57</v>
      </c>
    </row>
    <row r="62" spans="1:15" x14ac:dyDescent="0.3">
      <c r="A62" s="18">
        <v>46290.628136574072</v>
      </c>
      <c r="B62" s="19" t="s">
        <v>24</v>
      </c>
      <c r="C62" s="15">
        <v>28.6129</v>
      </c>
      <c r="D62" s="1">
        <v>77.229500000000002</v>
      </c>
      <c r="E62" s="1" t="s">
        <v>43</v>
      </c>
      <c r="F62" s="1" t="s">
        <v>52</v>
      </c>
      <c r="G62" s="1" t="s">
        <v>18</v>
      </c>
      <c r="H62" s="1" t="s">
        <v>32</v>
      </c>
      <c r="I62" s="1" t="s">
        <v>56</v>
      </c>
      <c r="J62" s="1">
        <v>47</v>
      </c>
      <c r="K62" s="1" t="s">
        <v>34</v>
      </c>
      <c r="L62" s="2">
        <v>46322</v>
      </c>
      <c r="M62" s="1">
        <v>6</v>
      </c>
      <c r="N62" s="1" t="s">
        <v>62</v>
      </c>
      <c r="O62" s="3" t="s">
        <v>57</v>
      </c>
    </row>
    <row r="63" spans="1:15" x14ac:dyDescent="0.3">
      <c r="A63" s="18">
        <v>46280.135682870372</v>
      </c>
      <c r="B63" s="19" t="s">
        <v>24</v>
      </c>
      <c r="C63" s="15">
        <v>28.6328</v>
      </c>
      <c r="D63" s="1">
        <v>77.219499999999996</v>
      </c>
      <c r="E63" s="1" t="s">
        <v>16</v>
      </c>
      <c r="F63" s="1" t="s">
        <v>44</v>
      </c>
      <c r="G63" s="1" t="s">
        <v>50</v>
      </c>
      <c r="H63" s="1" t="s">
        <v>27</v>
      </c>
      <c r="I63" s="1" t="s">
        <v>56</v>
      </c>
      <c r="J63" s="1">
        <v>37</v>
      </c>
      <c r="K63" s="1" t="s">
        <v>34</v>
      </c>
      <c r="L63" s="2">
        <v>46322</v>
      </c>
      <c r="M63" s="1">
        <v>5</v>
      </c>
      <c r="N63" s="1" t="s">
        <v>62</v>
      </c>
      <c r="O63" s="3" t="s">
        <v>23</v>
      </c>
    </row>
    <row r="64" spans="1:15" x14ac:dyDescent="0.3">
      <c r="A64" s="18">
        <v>46270.517592592594</v>
      </c>
      <c r="B64" s="19" t="s">
        <v>42</v>
      </c>
      <c r="C64" s="15">
        <v>28.656199999999998</v>
      </c>
      <c r="D64" s="1">
        <v>77.231499999999997</v>
      </c>
      <c r="E64" s="1" t="s">
        <v>55</v>
      </c>
      <c r="F64" s="1" t="s">
        <v>17</v>
      </c>
      <c r="G64" s="1" t="s">
        <v>18</v>
      </c>
      <c r="H64" s="1" t="s">
        <v>27</v>
      </c>
      <c r="I64" s="1" t="s">
        <v>20</v>
      </c>
      <c r="J64" s="1">
        <v>43</v>
      </c>
      <c r="K64" s="1" t="s">
        <v>21</v>
      </c>
      <c r="L64" s="2">
        <v>46322</v>
      </c>
      <c r="M64" s="1">
        <v>5</v>
      </c>
      <c r="N64" s="1" t="s">
        <v>62</v>
      </c>
      <c r="O64" s="3" t="s">
        <v>23</v>
      </c>
    </row>
    <row r="65" spans="1:15" x14ac:dyDescent="0.3">
      <c r="A65" s="18">
        <v>46267.748738425929</v>
      </c>
      <c r="B65" s="19" t="s">
        <v>40</v>
      </c>
      <c r="C65" s="15">
        <v>28.632999999999999</v>
      </c>
      <c r="D65" s="1">
        <v>77.2196</v>
      </c>
      <c r="E65" s="1" t="s">
        <v>16</v>
      </c>
      <c r="F65" s="1" t="s">
        <v>53</v>
      </c>
      <c r="G65" s="1" t="s">
        <v>31</v>
      </c>
      <c r="H65" s="1" t="s">
        <v>32</v>
      </c>
      <c r="I65" s="1" t="s">
        <v>36</v>
      </c>
      <c r="J65" s="1">
        <v>72</v>
      </c>
      <c r="K65" s="1" t="s">
        <v>21</v>
      </c>
      <c r="L65" s="2">
        <v>46322</v>
      </c>
      <c r="M65" s="1">
        <v>4</v>
      </c>
      <c r="N65" s="1" t="s">
        <v>62</v>
      </c>
      <c r="O65" s="3" t="s">
        <v>23</v>
      </c>
    </row>
    <row r="66" spans="1:15" x14ac:dyDescent="0.3">
      <c r="A66" s="18">
        <v>46271.100497685184</v>
      </c>
      <c r="B66" s="19" t="s">
        <v>42</v>
      </c>
      <c r="C66" s="15">
        <v>28.6328</v>
      </c>
      <c r="D66" s="1">
        <v>77.219499999999996</v>
      </c>
      <c r="E66" s="1" t="s">
        <v>16</v>
      </c>
      <c r="F66" s="1" t="s">
        <v>26</v>
      </c>
      <c r="G66" s="1" t="s">
        <v>45</v>
      </c>
      <c r="H66" s="1" t="s">
        <v>27</v>
      </c>
      <c r="I66" s="1" t="s">
        <v>20</v>
      </c>
      <c r="J66" s="1">
        <v>25</v>
      </c>
      <c r="K66" s="1" t="s">
        <v>39</v>
      </c>
      <c r="L66" s="2">
        <v>46322</v>
      </c>
      <c r="M66" s="1">
        <v>1</v>
      </c>
      <c r="N66" s="1" t="s">
        <v>62</v>
      </c>
      <c r="O66" s="3" t="s">
        <v>23</v>
      </c>
    </row>
    <row r="67" spans="1:15" x14ac:dyDescent="0.3">
      <c r="A67" s="18">
        <v>46283.34171296296</v>
      </c>
      <c r="B67" s="19" t="s">
        <v>24</v>
      </c>
      <c r="C67" s="15">
        <v>28.6328</v>
      </c>
      <c r="D67" s="1">
        <v>77.219499999999996</v>
      </c>
      <c r="E67" s="1" t="s">
        <v>16</v>
      </c>
      <c r="F67" s="1" t="s">
        <v>44</v>
      </c>
      <c r="G67" s="1" t="s">
        <v>45</v>
      </c>
      <c r="H67" s="1" t="s">
        <v>27</v>
      </c>
      <c r="I67" s="1" t="s">
        <v>49</v>
      </c>
      <c r="J67" s="1">
        <v>36</v>
      </c>
      <c r="K67" s="1" t="s">
        <v>39</v>
      </c>
      <c r="L67" s="2">
        <v>46322</v>
      </c>
      <c r="M67" s="1">
        <v>0</v>
      </c>
      <c r="N67" s="1" t="s">
        <v>62</v>
      </c>
      <c r="O67" s="3" t="s">
        <v>23</v>
      </c>
    </row>
    <row r="68" spans="1:15" x14ac:dyDescent="0.3">
      <c r="A68" s="18">
        <v>46272.12060185185</v>
      </c>
      <c r="B68" s="19" t="s">
        <v>40</v>
      </c>
      <c r="C68" s="15">
        <v>28.6328</v>
      </c>
      <c r="D68" s="1">
        <v>77.219499999999996</v>
      </c>
      <c r="E68" s="1" t="s">
        <v>16</v>
      </c>
      <c r="F68" s="1" t="s">
        <v>17</v>
      </c>
      <c r="G68" s="1" t="s">
        <v>50</v>
      </c>
      <c r="H68" s="1" t="s">
        <v>19</v>
      </c>
      <c r="I68" s="1" t="s">
        <v>20</v>
      </c>
      <c r="J68" s="1">
        <v>65</v>
      </c>
      <c r="K68" s="1" t="s">
        <v>21</v>
      </c>
      <c r="L68" s="2">
        <v>46322</v>
      </c>
      <c r="M68" s="1">
        <v>0</v>
      </c>
      <c r="N68" s="1" t="s">
        <v>62</v>
      </c>
      <c r="O68" s="3" t="s">
        <v>23</v>
      </c>
    </row>
    <row r="69" spans="1:15" x14ac:dyDescent="0.3">
      <c r="A69" s="18">
        <v>46293.542708333334</v>
      </c>
      <c r="B69" s="19" t="s">
        <v>37</v>
      </c>
      <c r="C69" s="15">
        <v>28.545300000000001</v>
      </c>
      <c r="D69" s="1">
        <v>77.192499999999995</v>
      </c>
      <c r="E69" s="1" t="s">
        <v>41</v>
      </c>
      <c r="F69" s="1" t="s">
        <v>53</v>
      </c>
      <c r="G69" s="1" t="s">
        <v>18</v>
      </c>
      <c r="H69" s="1" t="s">
        <v>32</v>
      </c>
      <c r="I69" s="1" t="s">
        <v>49</v>
      </c>
      <c r="J69" s="1">
        <v>44</v>
      </c>
      <c r="K69" s="1" t="s">
        <v>34</v>
      </c>
      <c r="L69" s="2">
        <v>46321</v>
      </c>
      <c r="M69" s="1">
        <v>23</v>
      </c>
      <c r="N69" s="1" t="s">
        <v>63</v>
      </c>
      <c r="O69" s="3" t="s">
        <v>23</v>
      </c>
    </row>
    <row r="70" spans="1:15" x14ac:dyDescent="0.3">
      <c r="A70" s="18">
        <v>46279.115578703706</v>
      </c>
      <c r="B70" s="19" t="s">
        <v>42</v>
      </c>
      <c r="C70" s="15">
        <v>28.5562</v>
      </c>
      <c r="D70" s="1">
        <v>77.099999999999994</v>
      </c>
      <c r="E70" s="1" t="s">
        <v>38</v>
      </c>
      <c r="F70" s="1" t="s">
        <v>17</v>
      </c>
      <c r="G70" s="1" t="s">
        <v>18</v>
      </c>
      <c r="H70" s="1" t="s">
        <v>27</v>
      </c>
      <c r="I70" s="1" t="s">
        <v>20</v>
      </c>
      <c r="J70" s="1">
        <v>57</v>
      </c>
      <c r="K70" s="1" t="s">
        <v>34</v>
      </c>
      <c r="L70" s="2">
        <v>46321</v>
      </c>
      <c r="M70" s="1">
        <v>19</v>
      </c>
      <c r="N70" s="1" t="s">
        <v>63</v>
      </c>
      <c r="O70" s="3" t="s">
        <v>28</v>
      </c>
    </row>
    <row r="71" spans="1:15" x14ac:dyDescent="0.3">
      <c r="A71" s="18">
        <v>46285.819097222222</v>
      </c>
      <c r="B71" s="19" t="s">
        <v>15</v>
      </c>
      <c r="C71" s="15">
        <v>28.6328</v>
      </c>
      <c r="D71" s="1">
        <v>77.219499999999996</v>
      </c>
      <c r="E71" s="1" t="s">
        <v>16</v>
      </c>
      <c r="F71" s="1" t="s">
        <v>26</v>
      </c>
      <c r="G71" s="1" t="s">
        <v>18</v>
      </c>
      <c r="H71" s="1" t="s">
        <v>19</v>
      </c>
      <c r="I71" s="1" t="s">
        <v>20</v>
      </c>
      <c r="J71" s="1">
        <v>66</v>
      </c>
      <c r="K71" s="1" t="s">
        <v>39</v>
      </c>
      <c r="L71" s="2">
        <v>46321</v>
      </c>
      <c r="M71" s="1">
        <v>19</v>
      </c>
      <c r="N71" s="1" t="s">
        <v>63</v>
      </c>
      <c r="O71" s="3" t="s">
        <v>28</v>
      </c>
    </row>
    <row r="72" spans="1:15" x14ac:dyDescent="0.3">
      <c r="A72" s="18">
        <v>46273.432164351849</v>
      </c>
      <c r="B72" s="19" t="s">
        <v>42</v>
      </c>
      <c r="C72" s="15">
        <v>28.6129</v>
      </c>
      <c r="D72" s="1">
        <v>77.229500000000002</v>
      </c>
      <c r="E72" s="1" t="s">
        <v>43</v>
      </c>
      <c r="F72" s="1" t="s">
        <v>26</v>
      </c>
      <c r="G72" s="1" t="s">
        <v>18</v>
      </c>
      <c r="H72" s="1" t="s">
        <v>27</v>
      </c>
      <c r="I72" s="1" t="s">
        <v>20</v>
      </c>
      <c r="J72" s="1">
        <v>22</v>
      </c>
      <c r="K72" s="1" t="s">
        <v>39</v>
      </c>
      <c r="L72" s="2">
        <v>46321</v>
      </c>
      <c r="M72" s="1">
        <v>18</v>
      </c>
      <c r="N72" s="1" t="s">
        <v>63</v>
      </c>
      <c r="O72" s="3" t="s">
        <v>28</v>
      </c>
    </row>
    <row r="73" spans="1:15" x14ac:dyDescent="0.3">
      <c r="A73" s="18">
        <v>46284.507534722223</v>
      </c>
      <c r="B73" s="19" t="s">
        <v>24</v>
      </c>
      <c r="C73" s="15">
        <v>28.6129</v>
      </c>
      <c r="D73" s="1">
        <v>77.229500000000002</v>
      </c>
      <c r="E73" s="1" t="s">
        <v>43</v>
      </c>
      <c r="F73" s="1" t="s">
        <v>53</v>
      </c>
      <c r="G73" s="1" t="s">
        <v>18</v>
      </c>
      <c r="H73" s="1" t="s">
        <v>32</v>
      </c>
      <c r="I73" s="1" t="s">
        <v>49</v>
      </c>
      <c r="J73" s="1">
        <v>56</v>
      </c>
      <c r="K73" s="1" t="s">
        <v>39</v>
      </c>
      <c r="L73" s="2">
        <v>46321</v>
      </c>
      <c r="M73" s="1">
        <v>16</v>
      </c>
      <c r="N73" s="1" t="s">
        <v>63</v>
      </c>
      <c r="O73" s="3" t="s">
        <v>51</v>
      </c>
    </row>
    <row r="74" spans="1:15" x14ac:dyDescent="0.3">
      <c r="A74" s="18">
        <v>46289.608043981483</v>
      </c>
      <c r="B74" s="19" t="s">
        <v>42</v>
      </c>
      <c r="C74" s="15">
        <v>28.6129</v>
      </c>
      <c r="D74" s="1">
        <v>77.229500000000002</v>
      </c>
      <c r="E74" s="1" t="s">
        <v>43</v>
      </c>
      <c r="F74" s="1" t="s">
        <v>44</v>
      </c>
      <c r="G74" s="1" t="s">
        <v>50</v>
      </c>
      <c r="H74" s="1" t="s">
        <v>27</v>
      </c>
      <c r="I74" s="1" t="s">
        <v>49</v>
      </c>
      <c r="J74" s="1">
        <v>19</v>
      </c>
      <c r="K74" s="1" t="s">
        <v>39</v>
      </c>
      <c r="L74" s="2">
        <v>46321</v>
      </c>
      <c r="M74" s="1">
        <v>15</v>
      </c>
      <c r="N74" s="1" t="s">
        <v>63</v>
      </c>
      <c r="O74" s="3" t="s">
        <v>51</v>
      </c>
    </row>
    <row r="75" spans="1:15" x14ac:dyDescent="0.3">
      <c r="A75" s="18">
        <v>46271.974872685183</v>
      </c>
      <c r="B75" s="19" t="s">
        <v>54</v>
      </c>
      <c r="C75" s="15">
        <v>28.545300000000001</v>
      </c>
      <c r="D75" s="1">
        <v>77.192499999999995</v>
      </c>
      <c r="E75" s="1" t="s">
        <v>41</v>
      </c>
      <c r="F75" s="1" t="s">
        <v>52</v>
      </c>
      <c r="G75" s="1" t="s">
        <v>45</v>
      </c>
      <c r="H75" s="1" t="s">
        <v>19</v>
      </c>
      <c r="I75" s="1" t="s">
        <v>49</v>
      </c>
      <c r="J75" s="1">
        <v>34</v>
      </c>
      <c r="K75" s="1" t="s">
        <v>39</v>
      </c>
      <c r="L75" s="2">
        <v>46321</v>
      </c>
      <c r="M75" s="1">
        <v>15</v>
      </c>
      <c r="N75" s="1" t="s">
        <v>63</v>
      </c>
      <c r="O75" s="3" t="s">
        <v>51</v>
      </c>
    </row>
    <row r="76" spans="1:15" x14ac:dyDescent="0.3">
      <c r="A76" s="18">
        <v>46283.195983796293</v>
      </c>
      <c r="B76" s="19" t="s">
        <v>24</v>
      </c>
      <c r="C76" s="15">
        <v>28.632999999999999</v>
      </c>
      <c r="D76" s="1">
        <v>77.2196</v>
      </c>
      <c r="E76" s="1" t="s">
        <v>16</v>
      </c>
      <c r="F76" s="1" t="s">
        <v>48</v>
      </c>
      <c r="G76" s="1" t="s">
        <v>18</v>
      </c>
      <c r="H76" s="1" t="s">
        <v>27</v>
      </c>
      <c r="I76" s="1" t="s">
        <v>20</v>
      </c>
      <c r="J76" s="1">
        <v>68</v>
      </c>
      <c r="K76" s="1" t="s">
        <v>21</v>
      </c>
      <c r="L76" s="2">
        <v>46321</v>
      </c>
      <c r="M76" s="1">
        <v>15</v>
      </c>
      <c r="N76" s="1" t="s">
        <v>63</v>
      </c>
      <c r="O76" s="3" t="s">
        <v>51</v>
      </c>
    </row>
    <row r="77" spans="1:15" x14ac:dyDescent="0.3">
      <c r="A77" s="18">
        <v>46282.46733796296</v>
      </c>
      <c r="B77" s="19" t="s">
        <v>15</v>
      </c>
      <c r="C77" s="15">
        <v>28.5562</v>
      </c>
      <c r="D77" s="1">
        <v>77.099999999999994</v>
      </c>
      <c r="E77" s="1" t="s">
        <v>38</v>
      </c>
      <c r="F77" s="1" t="s">
        <v>26</v>
      </c>
      <c r="G77" s="1" t="s">
        <v>50</v>
      </c>
      <c r="H77" s="1" t="s">
        <v>27</v>
      </c>
      <c r="I77" s="1" t="s">
        <v>20</v>
      </c>
      <c r="J77" s="1">
        <v>27</v>
      </c>
      <c r="K77" s="1" t="s">
        <v>39</v>
      </c>
      <c r="L77" s="2">
        <v>46321</v>
      </c>
      <c r="M77" s="1">
        <v>12</v>
      </c>
      <c r="N77" s="1" t="s">
        <v>63</v>
      </c>
      <c r="O77" s="3" t="s">
        <v>51</v>
      </c>
    </row>
    <row r="78" spans="1:15" x14ac:dyDescent="0.3">
      <c r="A78" s="18">
        <v>46269.788946759261</v>
      </c>
      <c r="B78" s="19" t="s">
        <v>24</v>
      </c>
      <c r="C78" s="15">
        <v>28.5562</v>
      </c>
      <c r="D78" s="1">
        <v>77.099999999999994</v>
      </c>
      <c r="E78" s="1" t="s">
        <v>38</v>
      </c>
      <c r="F78" s="1" t="s">
        <v>26</v>
      </c>
      <c r="G78" s="1" t="s">
        <v>18</v>
      </c>
      <c r="H78" s="1" t="s">
        <v>32</v>
      </c>
      <c r="I78" s="1" t="s">
        <v>20</v>
      </c>
      <c r="J78" s="1">
        <v>25</v>
      </c>
      <c r="K78" s="1" t="s">
        <v>21</v>
      </c>
      <c r="L78" s="2">
        <v>46321</v>
      </c>
      <c r="M78" s="1">
        <v>8</v>
      </c>
      <c r="N78" s="1" t="s">
        <v>63</v>
      </c>
      <c r="O78" s="3" t="s">
        <v>57</v>
      </c>
    </row>
    <row r="79" spans="1:15" x14ac:dyDescent="0.3">
      <c r="A79" s="18">
        <v>46286.256284722222</v>
      </c>
      <c r="B79" s="19" t="s">
        <v>37</v>
      </c>
      <c r="C79" s="15">
        <v>28.5562</v>
      </c>
      <c r="D79" s="1">
        <v>77.099999999999994</v>
      </c>
      <c r="E79" s="1" t="s">
        <v>38</v>
      </c>
      <c r="F79" s="1" t="s">
        <v>26</v>
      </c>
      <c r="G79" s="1" t="s">
        <v>45</v>
      </c>
      <c r="H79" s="1" t="s">
        <v>32</v>
      </c>
      <c r="I79" s="1" t="s">
        <v>20</v>
      </c>
      <c r="J79" s="1">
        <v>59</v>
      </c>
      <c r="K79" s="1" t="s">
        <v>34</v>
      </c>
      <c r="L79" s="2">
        <v>46321</v>
      </c>
      <c r="M79" s="1">
        <v>8</v>
      </c>
      <c r="N79" s="1" t="s">
        <v>63</v>
      </c>
      <c r="O79" s="3" t="s">
        <v>57</v>
      </c>
    </row>
    <row r="80" spans="1:15" x14ac:dyDescent="0.3">
      <c r="A80" s="18">
        <v>46280.572858796295</v>
      </c>
      <c r="B80" s="19" t="s">
        <v>15</v>
      </c>
      <c r="C80" s="15">
        <v>28.5562</v>
      </c>
      <c r="D80" s="1">
        <v>77.099999999999994</v>
      </c>
      <c r="E80" s="1" t="s">
        <v>38</v>
      </c>
      <c r="F80" s="1" t="s">
        <v>26</v>
      </c>
      <c r="G80" s="1" t="s">
        <v>45</v>
      </c>
      <c r="H80" s="1" t="s">
        <v>27</v>
      </c>
      <c r="I80" s="1" t="s">
        <v>20</v>
      </c>
      <c r="J80" s="1">
        <v>42</v>
      </c>
      <c r="K80" s="1" t="s">
        <v>39</v>
      </c>
      <c r="L80" s="2">
        <v>46321</v>
      </c>
      <c r="M80" s="1">
        <v>7</v>
      </c>
      <c r="N80" s="1" t="s">
        <v>63</v>
      </c>
      <c r="O80" s="3" t="s">
        <v>57</v>
      </c>
    </row>
    <row r="81" spans="1:15" x14ac:dyDescent="0.3">
      <c r="A81" s="18">
        <v>46282.175879629627</v>
      </c>
      <c r="B81" s="19" t="s">
        <v>42</v>
      </c>
      <c r="C81" s="15">
        <v>28.571400000000001</v>
      </c>
      <c r="D81" s="1">
        <v>77.281300000000002</v>
      </c>
      <c r="E81" s="1" t="s">
        <v>47</v>
      </c>
      <c r="F81" s="1" t="s">
        <v>53</v>
      </c>
      <c r="G81" s="1" t="s">
        <v>45</v>
      </c>
      <c r="H81" s="1" t="s">
        <v>32</v>
      </c>
      <c r="I81" s="1" t="s">
        <v>36</v>
      </c>
      <c r="J81" s="1">
        <v>49</v>
      </c>
      <c r="K81" s="1" t="s">
        <v>39</v>
      </c>
      <c r="L81" s="2">
        <v>46321</v>
      </c>
      <c r="M81" s="1">
        <v>7</v>
      </c>
      <c r="N81" s="1" t="s">
        <v>63</v>
      </c>
      <c r="O81" s="3" t="s">
        <v>57</v>
      </c>
    </row>
    <row r="82" spans="1:15" x14ac:dyDescent="0.3">
      <c r="A82" s="18">
        <v>46266.291458333333</v>
      </c>
      <c r="B82" s="19" t="s">
        <v>54</v>
      </c>
      <c r="C82" s="15">
        <v>28.567599999999999</v>
      </c>
      <c r="D82" s="1">
        <v>77.209599999999995</v>
      </c>
      <c r="E82" s="1" t="s">
        <v>25</v>
      </c>
      <c r="F82" s="1" t="s">
        <v>53</v>
      </c>
      <c r="G82" s="1" t="s">
        <v>45</v>
      </c>
      <c r="H82" s="1" t="s">
        <v>32</v>
      </c>
      <c r="I82" s="1" t="s">
        <v>36</v>
      </c>
      <c r="J82" s="1">
        <v>57</v>
      </c>
      <c r="K82" s="1" t="s">
        <v>34</v>
      </c>
      <c r="L82" s="2">
        <v>46321</v>
      </c>
      <c r="M82" s="1">
        <v>6</v>
      </c>
      <c r="N82" s="1" t="s">
        <v>63</v>
      </c>
      <c r="O82" s="3" t="s">
        <v>57</v>
      </c>
    </row>
    <row r="83" spans="1:15" x14ac:dyDescent="0.3">
      <c r="A83" s="18">
        <v>46277.22111111111</v>
      </c>
      <c r="B83" s="19" t="s">
        <v>29</v>
      </c>
      <c r="C83" s="15">
        <v>28.632999999999999</v>
      </c>
      <c r="D83" s="1">
        <v>77.2196</v>
      </c>
      <c r="E83" s="1" t="s">
        <v>16</v>
      </c>
      <c r="F83" s="1" t="s">
        <v>58</v>
      </c>
      <c r="G83" s="1" t="s">
        <v>45</v>
      </c>
      <c r="H83" s="1" t="s">
        <v>27</v>
      </c>
      <c r="I83" s="1" t="s">
        <v>20</v>
      </c>
      <c r="J83" s="1">
        <v>34</v>
      </c>
      <c r="K83" s="1" t="s">
        <v>34</v>
      </c>
      <c r="L83" s="2">
        <v>46321</v>
      </c>
      <c r="M83" s="1">
        <v>5</v>
      </c>
      <c r="N83" s="1" t="s">
        <v>63</v>
      </c>
      <c r="O83" s="3" t="s">
        <v>23</v>
      </c>
    </row>
    <row r="84" spans="1:15" x14ac:dyDescent="0.3">
      <c r="A84" s="18">
        <v>46272.703518518516</v>
      </c>
      <c r="B84" s="19" t="s">
        <v>29</v>
      </c>
      <c r="C84" s="15">
        <v>28.6129</v>
      </c>
      <c r="D84" s="1">
        <v>77.229500000000002</v>
      </c>
      <c r="E84" s="1" t="s">
        <v>43</v>
      </c>
      <c r="F84" s="1" t="s">
        <v>17</v>
      </c>
      <c r="G84" s="1" t="s">
        <v>18</v>
      </c>
      <c r="H84" s="1" t="s">
        <v>27</v>
      </c>
      <c r="I84" s="1" t="s">
        <v>20</v>
      </c>
      <c r="J84" s="1">
        <v>31</v>
      </c>
      <c r="K84" s="1" t="s">
        <v>39</v>
      </c>
      <c r="L84" s="2">
        <v>46321</v>
      </c>
      <c r="M84" s="1">
        <v>4</v>
      </c>
      <c r="N84" s="1" t="s">
        <v>63</v>
      </c>
      <c r="O84" s="3" t="s">
        <v>23</v>
      </c>
    </row>
    <row r="85" spans="1:15" x14ac:dyDescent="0.3">
      <c r="A85" s="18">
        <v>46293.251261574071</v>
      </c>
      <c r="B85" s="19" t="s">
        <v>24</v>
      </c>
      <c r="C85" s="15">
        <v>28.5562</v>
      </c>
      <c r="D85" s="1">
        <v>77.099999999999994</v>
      </c>
      <c r="E85" s="1" t="s">
        <v>38</v>
      </c>
      <c r="F85" s="1" t="s">
        <v>52</v>
      </c>
      <c r="G85" s="1" t="s">
        <v>18</v>
      </c>
      <c r="H85" s="1" t="s">
        <v>61</v>
      </c>
      <c r="I85" s="1" t="s">
        <v>20</v>
      </c>
      <c r="J85" s="1">
        <v>68</v>
      </c>
      <c r="K85" s="1" t="s">
        <v>39</v>
      </c>
      <c r="L85" s="2">
        <v>46321</v>
      </c>
      <c r="M85" s="1">
        <v>2</v>
      </c>
      <c r="N85" s="1" t="s">
        <v>63</v>
      </c>
      <c r="O85" s="3" t="s">
        <v>23</v>
      </c>
    </row>
    <row r="86" spans="1:15" x14ac:dyDescent="0.3">
      <c r="A86" s="18">
        <v>46293.834166666667</v>
      </c>
      <c r="B86" s="19" t="s">
        <v>29</v>
      </c>
      <c r="C86" s="15">
        <v>28.656199999999998</v>
      </c>
      <c r="D86" s="1">
        <v>77.231499999999997</v>
      </c>
      <c r="E86" s="1" t="s">
        <v>55</v>
      </c>
      <c r="F86" s="1" t="s">
        <v>26</v>
      </c>
      <c r="G86" s="1" t="s">
        <v>31</v>
      </c>
      <c r="H86" s="1" t="s">
        <v>27</v>
      </c>
      <c r="I86" s="1" t="s">
        <v>20</v>
      </c>
      <c r="J86" s="1">
        <v>23</v>
      </c>
      <c r="K86" s="1" t="s">
        <v>34</v>
      </c>
      <c r="L86" s="2">
        <v>46321</v>
      </c>
      <c r="M86" s="1">
        <v>1</v>
      </c>
      <c r="N86" s="1" t="s">
        <v>63</v>
      </c>
      <c r="O86" s="3" t="s">
        <v>23</v>
      </c>
    </row>
    <row r="87" spans="1:15" x14ac:dyDescent="0.3">
      <c r="A87" s="18">
        <v>46278.386932870373</v>
      </c>
      <c r="B87" s="19" t="s">
        <v>24</v>
      </c>
      <c r="C87" s="15">
        <v>28.656199999999998</v>
      </c>
      <c r="D87" s="1">
        <v>77.231499999999997</v>
      </c>
      <c r="E87" s="1" t="s">
        <v>55</v>
      </c>
      <c r="F87" s="1" t="s">
        <v>26</v>
      </c>
      <c r="G87" s="1" t="s">
        <v>45</v>
      </c>
      <c r="H87" s="1" t="s">
        <v>27</v>
      </c>
      <c r="I87" s="1" t="s">
        <v>20</v>
      </c>
      <c r="J87" s="1">
        <v>70</v>
      </c>
      <c r="K87" s="1" t="s">
        <v>21</v>
      </c>
      <c r="L87" s="2">
        <v>46321</v>
      </c>
      <c r="M87" s="1">
        <v>0</v>
      </c>
      <c r="N87" s="1" t="s">
        <v>63</v>
      </c>
      <c r="O87" s="3" t="s">
        <v>23</v>
      </c>
    </row>
    <row r="88" spans="1:15" x14ac:dyDescent="0.3">
      <c r="A88" s="18">
        <v>46289.462314814817</v>
      </c>
      <c r="B88" s="19" t="s">
        <v>46</v>
      </c>
      <c r="C88" s="15">
        <v>28.5562</v>
      </c>
      <c r="D88" s="1">
        <v>77.099999999999994</v>
      </c>
      <c r="E88" s="1" t="s">
        <v>38</v>
      </c>
      <c r="F88" s="1" t="s">
        <v>58</v>
      </c>
      <c r="G88" s="1" t="s">
        <v>50</v>
      </c>
      <c r="H88" s="1" t="s">
        <v>32</v>
      </c>
      <c r="I88" s="1" t="s">
        <v>20</v>
      </c>
      <c r="J88" s="1">
        <v>34</v>
      </c>
      <c r="K88" s="1" t="s">
        <v>34</v>
      </c>
      <c r="L88" s="2">
        <v>46320</v>
      </c>
      <c r="M88" s="1">
        <v>22</v>
      </c>
      <c r="N88" s="1" t="s">
        <v>64</v>
      </c>
      <c r="O88" s="3" t="s">
        <v>23</v>
      </c>
    </row>
    <row r="89" spans="1:15" x14ac:dyDescent="0.3">
      <c r="A89" s="18">
        <v>46271.24622685185</v>
      </c>
      <c r="B89" s="19" t="s">
        <v>15</v>
      </c>
      <c r="C89" s="15">
        <v>28.567599999999999</v>
      </c>
      <c r="D89" s="1">
        <v>77.209599999999995</v>
      </c>
      <c r="E89" s="1" t="s">
        <v>25</v>
      </c>
      <c r="F89" s="1" t="s">
        <v>35</v>
      </c>
      <c r="G89" s="1" t="s">
        <v>18</v>
      </c>
      <c r="H89" s="1" t="s">
        <v>27</v>
      </c>
      <c r="I89" s="1" t="s">
        <v>20</v>
      </c>
      <c r="J89" s="1">
        <v>70</v>
      </c>
      <c r="K89" s="1" t="s">
        <v>39</v>
      </c>
      <c r="L89" s="2">
        <v>46320</v>
      </c>
      <c r="M89" s="1">
        <v>16</v>
      </c>
      <c r="N89" s="1" t="s">
        <v>64</v>
      </c>
      <c r="O89" s="3" t="s">
        <v>51</v>
      </c>
    </row>
    <row r="90" spans="1:15" x14ac:dyDescent="0.3">
      <c r="A90" s="18">
        <v>46293.688437500001</v>
      </c>
      <c r="B90" s="19" t="s">
        <v>29</v>
      </c>
      <c r="C90" s="15">
        <v>28.545300000000001</v>
      </c>
      <c r="D90" s="1">
        <v>77.192499999999995</v>
      </c>
      <c r="E90" s="1" t="s">
        <v>41</v>
      </c>
      <c r="F90" s="1" t="s">
        <v>35</v>
      </c>
      <c r="G90" s="1" t="s">
        <v>18</v>
      </c>
      <c r="H90" s="1" t="s">
        <v>27</v>
      </c>
      <c r="I90" s="1" t="s">
        <v>36</v>
      </c>
      <c r="J90" s="1">
        <v>70</v>
      </c>
      <c r="K90" s="1" t="s">
        <v>39</v>
      </c>
      <c r="L90" s="2">
        <v>46320</v>
      </c>
      <c r="M90" s="1">
        <v>15</v>
      </c>
      <c r="N90" s="1" t="s">
        <v>64</v>
      </c>
      <c r="O90" s="3" t="s">
        <v>51</v>
      </c>
    </row>
    <row r="91" spans="1:15" x14ac:dyDescent="0.3">
      <c r="A91" s="18">
        <v>46274.889444444445</v>
      </c>
      <c r="B91" s="19" t="s">
        <v>37</v>
      </c>
      <c r="C91" s="15">
        <v>28.6129</v>
      </c>
      <c r="D91" s="1">
        <v>77.229500000000002</v>
      </c>
      <c r="E91" s="1" t="s">
        <v>43</v>
      </c>
      <c r="F91" s="1" t="s">
        <v>58</v>
      </c>
      <c r="G91" s="1" t="s">
        <v>45</v>
      </c>
      <c r="H91" s="1" t="s">
        <v>61</v>
      </c>
      <c r="I91" s="1" t="s">
        <v>20</v>
      </c>
      <c r="J91" s="1">
        <v>20</v>
      </c>
      <c r="K91" s="1" t="s">
        <v>21</v>
      </c>
      <c r="L91" s="2">
        <v>46320</v>
      </c>
      <c r="M91" s="1">
        <v>15</v>
      </c>
      <c r="N91" s="1" t="s">
        <v>64</v>
      </c>
      <c r="O91" s="3" t="s">
        <v>51</v>
      </c>
    </row>
    <row r="92" spans="1:15" x14ac:dyDescent="0.3">
      <c r="A92" s="18">
        <v>46269.206030092595</v>
      </c>
      <c r="B92" s="19" t="s">
        <v>37</v>
      </c>
      <c r="C92" s="15">
        <v>28.656199999999998</v>
      </c>
      <c r="D92" s="1">
        <v>77.231499999999997</v>
      </c>
      <c r="E92" s="1" t="s">
        <v>55</v>
      </c>
      <c r="F92" s="1" t="s">
        <v>44</v>
      </c>
      <c r="G92" s="1" t="s">
        <v>18</v>
      </c>
      <c r="H92" s="1" t="s">
        <v>27</v>
      </c>
      <c r="I92" s="1" t="s">
        <v>33</v>
      </c>
      <c r="J92" s="1">
        <v>32</v>
      </c>
      <c r="K92" s="1" t="s">
        <v>39</v>
      </c>
      <c r="L92" s="2">
        <v>46320</v>
      </c>
      <c r="M92" s="1">
        <v>14</v>
      </c>
      <c r="N92" s="1" t="s">
        <v>64</v>
      </c>
      <c r="O92" s="3" t="s">
        <v>51</v>
      </c>
    </row>
    <row r="93" spans="1:15" x14ac:dyDescent="0.3">
      <c r="A93" s="18">
        <v>46286.547743055555</v>
      </c>
      <c r="B93" s="19" t="s">
        <v>40</v>
      </c>
      <c r="C93" s="15">
        <v>28.6129</v>
      </c>
      <c r="D93" s="1">
        <v>77.229500000000002</v>
      </c>
      <c r="E93" s="1" t="s">
        <v>43</v>
      </c>
      <c r="F93" s="1" t="s">
        <v>17</v>
      </c>
      <c r="G93" s="1" t="s">
        <v>18</v>
      </c>
      <c r="H93" s="1" t="s">
        <v>19</v>
      </c>
      <c r="I93" s="1" t="s">
        <v>20</v>
      </c>
      <c r="J93" s="1">
        <v>45</v>
      </c>
      <c r="K93" s="1" t="s">
        <v>34</v>
      </c>
      <c r="L93" s="2">
        <v>46320</v>
      </c>
      <c r="M93" s="1">
        <v>10</v>
      </c>
      <c r="N93" s="1" t="s">
        <v>64</v>
      </c>
      <c r="O93" s="3" t="s">
        <v>57</v>
      </c>
    </row>
    <row r="94" spans="1:15" x14ac:dyDescent="0.3">
      <c r="A94" s="18">
        <v>46280.718587962961</v>
      </c>
      <c r="B94" s="19" t="s">
        <v>29</v>
      </c>
      <c r="C94" s="15">
        <v>28.545300000000001</v>
      </c>
      <c r="D94" s="1">
        <v>77.192499999999995</v>
      </c>
      <c r="E94" s="1" t="s">
        <v>41</v>
      </c>
      <c r="F94" s="1" t="s">
        <v>44</v>
      </c>
      <c r="G94" s="1" t="s">
        <v>18</v>
      </c>
      <c r="H94" s="1" t="s">
        <v>27</v>
      </c>
      <c r="I94" s="1" t="s">
        <v>33</v>
      </c>
      <c r="J94" s="1">
        <v>28</v>
      </c>
      <c r="K94" s="1" t="s">
        <v>39</v>
      </c>
      <c r="L94" s="2">
        <v>46320</v>
      </c>
      <c r="M94" s="1">
        <v>10</v>
      </c>
      <c r="N94" s="1" t="s">
        <v>64</v>
      </c>
      <c r="O94" s="3" t="s">
        <v>57</v>
      </c>
    </row>
    <row r="95" spans="1:15" x14ac:dyDescent="0.3">
      <c r="A95" s="18">
        <v>46270.809050925927</v>
      </c>
      <c r="B95" s="19" t="s">
        <v>40</v>
      </c>
      <c r="C95" s="15">
        <v>28.5562</v>
      </c>
      <c r="D95" s="1">
        <v>77.099999999999994</v>
      </c>
      <c r="E95" s="1" t="s">
        <v>38</v>
      </c>
      <c r="F95" s="1" t="s">
        <v>58</v>
      </c>
      <c r="G95" s="1" t="s">
        <v>45</v>
      </c>
      <c r="H95" s="1" t="s">
        <v>61</v>
      </c>
      <c r="I95" s="1" t="s">
        <v>20</v>
      </c>
      <c r="J95" s="1">
        <v>29</v>
      </c>
      <c r="K95" s="1" t="s">
        <v>39</v>
      </c>
      <c r="L95" s="2">
        <v>46320</v>
      </c>
      <c r="M95" s="1">
        <v>9</v>
      </c>
      <c r="N95" s="1" t="s">
        <v>64</v>
      </c>
      <c r="O95" s="3" t="s">
        <v>57</v>
      </c>
    </row>
    <row r="96" spans="1:15" x14ac:dyDescent="0.3">
      <c r="A96" s="18">
        <v>46267.603020833332</v>
      </c>
      <c r="B96" s="19" t="s">
        <v>54</v>
      </c>
      <c r="C96" s="15">
        <v>28.5562</v>
      </c>
      <c r="D96" s="1">
        <v>77.099999999999994</v>
      </c>
      <c r="E96" s="1" t="s">
        <v>38</v>
      </c>
      <c r="F96" s="1" t="s">
        <v>58</v>
      </c>
      <c r="G96" s="1" t="s">
        <v>18</v>
      </c>
      <c r="H96" s="1" t="s">
        <v>27</v>
      </c>
      <c r="I96" s="1" t="s">
        <v>20</v>
      </c>
      <c r="J96" s="1">
        <v>48</v>
      </c>
      <c r="K96" s="1" t="s">
        <v>21</v>
      </c>
      <c r="L96" s="2">
        <v>46320</v>
      </c>
      <c r="M96" s="1">
        <v>8</v>
      </c>
      <c r="N96" s="1" t="s">
        <v>64</v>
      </c>
      <c r="O96" s="3" t="s">
        <v>57</v>
      </c>
    </row>
    <row r="97" spans="1:15" x14ac:dyDescent="0.3">
      <c r="A97" s="18">
        <v>46294.271354166667</v>
      </c>
      <c r="B97" s="19" t="s">
        <v>40</v>
      </c>
      <c r="C97" s="15">
        <v>28.6328</v>
      </c>
      <c r="D97" s="1">
        <v>77.219499999999996</v>
      </c>
      <c r="E97" s="1" t="s">
        <v>16</v>
      </c>
      <c r="F97" s="1" t="s">
        <v>48</v>
      </c>
      <c r="G97" s="1" t="s">
        <v>50</v>
      </c>
      <c r="H97" s="1" t="s">
        <v>61</v>
      </c>
      <c r="I97" s="1" t="s">
        <v>20</v>
      </c>
      <c r="J97" s="1">
        <v>29</v>
      </c>
      <c r="K97" s="1" t="s">
        <v>21</v>
      </c>
      <c r="L97" s="2">
        <v>46320</v>
      </c>
      <c r="M97" s="1">
        <v>8</v>
      </c>
      <c r="N97" s="1" t="s">
        <v>64</v>
      </c>
      <c r="O97" s="3" t="s">
        <v>57</v>
      </c>
    </row>
    <row r="98" spans="1:15" x14ac:dyDescent="0.3">
      <c r="A98" s="18">
        <v>46289.170856481483</v>
      </c>
      <c r="B98" s="19" t="s">
        <v>24</v>
      </c>
      <c r="C98" s="15">
        <v>28.545300000000001</v>
      </c>
      <c r="D98" s="1">
        <v>77.192499999999995</v>
      </c>
      <c r="E98" s="1" t="s">
        <v>41</v>
      </c>
      <c r="F98" s="1" t="s">
        <v>44</v>
      </c>
      <c r="G98" s="1" t="s">
        <v>18</v>
      </c>
      <c r="H98" s="1" t="s">
        <v>61</v>
      </c>
      <c r="I98" s="1" t="s">
        <v>33</v>
      </c>
      <c r="J98" s="1">
        <v>36</v>
      </c>
      <c r="K98" s="1" t="s">
        <v>39</v>
      </c>
      <c r="L98" s="2">
        <v>46320</v>
      </c>
      <c r="M98" s="1">
        <v>5</v>
      </c>
      <c r="N98" s="1" t="s">
        <v>64</v>
      </c>
      <c r="O98" s="3" t="s">
        <v>23</v>
      </c>
    </row>
    <row r="99" spans="1:15" x14ac:dyDescent="0.3">
      <c r="A99" s="18">
        <v>46266.874374999999</v>
      </c>
      <c r="B99" s="19" t="s">
        <v>54</v>
      </c>
      <c r="C99" s="15">
        <v>28.6328</v>
      </c>
      <c r="D99" s="1">
        <v>77.219499999999996</v>
      </c>
      <c r="E99" s="1" t="s">
        <v>16</v>
      </c>
      <c r="F99" s="1" t="s">
        <v>44</v>
      </c>
      <c r="G99" s="1" t="s">
        <v>50</v>
      </c>
      <c r="H99" s="1" t="s">
        <v>19</v>
      </c>
      <c r="I99" s="1" t="s">
        <v>20</v>
      </c>
      <c r="J99" s="1">
        <v>57</v>
      </c>
      <c r="K99" s="1" t="s">
        <v>21</v>
      </c>
      <c r="L99" s="2">
        <v>46320</v>
      </c>
      <c r="M99" s="1">
        <v>4</v>
      </c>
      <c r="N99" s="1" t="s">
        <v>64</v>
      </c>
      <c r="O99" s="3" t="s">
        <v>23</v>
      </c>
    </row>
    <row r="100" spans="1:15" x14ac:dyDescent="0.3">
      <c r="A100" s="18">
        <v>46269.934675925928</v>
      </c>
      <c r="B100" s="19" t="s">
        <v>37</v>
      </c>
      <c r="C100" s="15">
        <v>28.545300000000001</v>
      </c>
      <c r="D100" s="1">
        <v>77.192499999999995</v>
      </c>
      <c r="E100" s="1" t="s">
        <v>41</v>
      </c>
      <c r="F100" s="1" t="s">
        <v>58</v>
      </c>
      <c r="G100" s="1" t="s">
        <v>50</v>
      </c>
      <c r="H100" s="1" t="s">
        <v>32</v>
      </c>
      <c r="I100" s="1" t="s">
        <v>20</v>
      </c>
      <c r="J100" s="1">
        <v>70</v>
      </c>
      <c r="K100" s="1" t="s">
        <v>21</v>
      </c>
      <c r="L100" s="2">
        <v>46320</v>
      </c>
      <c r="M100" s="1">
        <v>3</v>
      </c>
      <c r="N100" s="1" t="s">
        <v>64</v>
      </c>
      <c r="O100" s="3" t="s">
        <v>23</v>
      </c>
    </row>
    <row r="101" spans="1:15" x14ac:dyDescent="0.3">
      <c r="A101" s="18">
        <v>46283.487442129626</v>
      </c>
      <c r="B101" s="19" t="s">
        <v>40</v>
      </c>
      <c r="C101" s="15">
        <v>28.567599999999999</v>
      </c>
      <c r="D101" s="1">
        <v>77.209599999999995</v>
      </c>
      <c r="E101" s="1" t="s">
        <v>25</v>
      </c>
      <c r="F101" s="1" t="s">
        <v>30</v>
      </c>
      <c r="G101" s="1" t="s">
        <v>50</v>
      </c>
      <c r="H101" s="1" t="s">
        <v>32</v>
      </c>
      <c r="I101" s="1" t="s">
        <v>20</v>
      </c>
      <c r="J101" s="1">
        <v>19</v>
      </c>
      <c r="K101" s="1" t="s">
        <v>39</v>
      </c>
      <c r="L101" s="2">
        <v>46320</v>
      </c>
      <c r="M101" s="1">
        <v>2</v>
      </c>
      <c r="N101" s="1" t="s">
        <v>64</v>
      </c>
      <c r="O101" s="3" t="s">
        <v>23</v>
      </c>
    </row>
    <row r="102" spans="1:15" x14ac:dyDescent="0.3">
      <c r="A102" s="18">
        <v>46266.582916666666</v>
      </c>
      <c r="B102" s="19" t="s">
        <v>54</v>
      </c>
      <c r="C102" s="15">
        <v>28.6129</v>
      </c>
      <c r="D102" s="1">
        <v>77.229500000000002</v>
      </c>
      <c r="E102" s="1" t="s">
        <v>43</v>
      </c>
      <c r="F102" s="1" t="s">
        <v>26</v>
      </c>
      <c r="G102" s="1" t="s">
        <v>45</v>
      </c>
      <c r="H102" s="1" t="s">
        <v>27</v>
      </c>
      <c r="I102" s="1" t="s">
        <v>20</v>
      </c>
      <c r="J102" s="1">
        <v>74</v>
      </c>
      <c r="K102" s="1" t="s">
        <v>39</v>
      </c>
      <c r="L102" s="2">
        <v>46320</v>
      </c>
      <c r="M102" s="1">
        <v>0</v>
      </c>
      <c r="N102" s="1" t="s">
        <v>64</v>
      </c>
      <c r="O102" s="3" t="s">
        <v>23</v>
      </c>
    </row>
    <row r="103" spans="1:15" x14ac:dyDescent="0.3">
      <c r="A103" s="18">
        <v>46270.663321759261</v>
      </c>
      <c r="B103" s="19" t="s">
        <v>24</v>
      </c>
      <c r="C103" s="15">
        <v>28.656199999999998</v>
      </c>
      <c r="D103" s="1">
        <v>77.231499999999997</v>
      </c>
      <c r="E103" s="1" t="s">
        <v>55</v>
      </c>
      <c r="F103" s="1" t="s">
        <v>48</v>
      </c>
      <c r="G103" s="1" t="s">
        <v>18</v>
      </c>
      <c r="H103" s="1" t="s">
        <v>19</v>
      </c>
      <c r="I103" s="1" t="s">
        <v>20</v>
      </c>
      <c r="J103" s="1">
        <v>38</v>
      </c>
      <c r="K103" s="1" t="s">
        <v>39</v>
      </c>
      <c r="L103" s="2">
        <v>46319</v>
      </c>
      <c r="M103" s="1">
        <v>22</v>
      </c>
      <c r="N103" s="1" t="s">
        <v>65</v>
      </c>
      <c r="O103" s="3" t="s">
        <v>23</v>
      </c>
    </row>
    <row r="104" spans="1:15" x14ac:dyDescent="0.3">
      <c r="A104" s="18">
        <v>46286.693472222221</v>
      </c>
      <c r="B104" s="19" t="s">
        <v>46</v>
      </c>
      <c r="C104" s="15">
        <v>28.6129</v>
      </c>
      <c r="D104" s="1">
        <v>77.229500000000002</v>
      </c>
      <c r="E104" s="1" t="s">
        <v>43</v>
      </c>
      <c r="F104" s="1" t="s">
        <v>53</v>
      </c>
      <c r="G104" s="1" t="s">
        <v>18</v>
      </c>
      <c r="H104" s="1" t="s">
        <v>61</v>
      </c>
      <c r="I104" s="1" t="s">
        <v>20</v>
      </c>
      <c r="J104" s="1">
        <v>21</v>
      </c>
      <c r="K104" s="1" t="s">
        <v>39</v>
      </c>
      <c r="L104" s="2">
        <v>46319</v>
      </c>
      <c r="M104" s="1">
        <v>21</v>
      </c>
      <c r="N104" s="1" t="s">
        <v>65</v>
      </c>
      <c r="O104" s="3" t="s">
        <v>23</v>
      </c>
    </row>
    <row r="105" spans="1:15" x14ac:dyDescent="0.3">
      <c r="A105" s="18">
        <v>46287.130648148152</v>
      </c>
      <c r="B105" s="19" t="s">
        <v>15</v>
      </c>
      <c r="C105" s="15">
        <v>28.6129</v>
      </c>
      <c r="D105" s="1">
        <v>77.229500000000002</v>
      </c>
      <c r="E105" s="1" t="s">
        <v>43</v>
      </c>
      <c r="F105" s="1" t="s">
        <v>17</v>
      </c>
      <c r="G105" s="1" t="s">
        <v>18</v>
      </c>
      <c r="H105" s="1" t="s">
        <v>32</v>
      </c>
      <c r="I105" s="1" t="s">
        <v>20</v>
      </c>
      <c r="J105" s="1">
        <v>40</v>
      </c>
      <c r="K105" s="1" t="s">
        <v>21</v>
      </c>
      <c r="L105" s="2">
        <v>46319</v>
      </c>
      <c r="M105" s="1">
        <v>20</v>
      </c>
      <c r="N105" s="1" t="s">
        <v>65</v>
      </c>
      <c r="O105" s="3" t="s">
        <v>28</v>
      </c>
    </row>
    <row r="106" spans="1:15" x14ac:dyDescent="0.3">
      <c r="A106" s="18">
        <v>46281.884421296294</v>
      </c>
      <c r="B106" s="19" t="s">
        <v>40</v>
      </c>
      <c r="C106" s="15">
        <v>28.571400000000001</v>
      </c>
      <c r="D106" s="1">
        <v>77.281300000000002</v>
      </c>
      <c r="E106" s="1" t="s">
        <v>47</v>
      </c>
      <c r="F106" s="1" t="s">
        <v>17</v>
      </c>
      <c r="G106" s="1" t="s">
        <v>31</v>
      </c>
      <c r="H106" s="1" t="s">
        <v>27</v>
      </c>
      <c r="I106" s="1" t="s">
        <v>20</v>
      </c>
      <c r="J106" s="1">
        <v>49</v>
      </c>
      <c r="K106" s="1" t="s">
        <v>21</v>
      </c>
      <c r="L106" s="2">
        <v>46319</v>
      </c>
      <c r="M106" s="1">
        <v>20</v>
      </c>
      <c r="N106" s="1" t="s">
        <v>65</v>
      </c>
      <c r="O106" s="3" t="s">
        <v>28</v>
      </c>
    </row>
    <row r="107" spans="1:15" x14ac:dyDescent="0.3">
      <c r="A107" s="18">
        <v>46286.984918981485</v>
      </c>
      <c r="B107" s="19" t="s">
        <v>54</v>
      </c>
      <c r="C107" s="15">
        <v>28.6129</v>
      </c>
      <c r="D107" s="1">
        <v>77.229500000000002</v>
      </c>
      <c r="E107" s="1" t="s">
        <v>43</v>
      </c>
      <c r="F107" s="1" t="s">
        <v>26</v>
      </c>
      <c r="G107" s="1" t="s">
        <v>18</v>
      </c>
      <c r="H107" s="1" t="s">
        <v>32</v>
      </c>
      <c r="I107" s="1" t="s">
        <v>20</v>
      </c>
      <c r="J107" s="1">
        <v>50</v>
      </c>
      <c r="K107" s="1" t="s">
        <v>39</v>
      </c>
      <c r="L107" s="2">
        <v>46319</v>
      </c>
      <c r="M107" s="1">
        <v>19</v>
      </c>
      <c r="N107" s="1" t="s">
        <v>65</v>
      </c>
      <c r="O107" s="3" t="s">
        <v>28</v>
      </c>
    </row>
    <row r="108" spans="1:15" x14ac:dyDescent="0.3">
      <c r="A108" s="18">
        <v>46267.457291666666</v>
      </c>
      <c r="B108" s="19" t="s">
        <v>29</v>
      </c>
      <c r="C108" s="15">
        <v>28.6328</v>
      </c>
      <c r="D108" s="1">
        <v>77.219499999999996</v>
      </c>
      <c r="E108" s="1" t="s">
        <v>16</v>
      </c>
      <c r="F108" s="1" t="s">
        <v>30</v>
      </c>
      <c r="G108" s="1" t="s">
        <v>50</v>
      </c>
      <c r="H108" s="1" t="s">
        <v>27</v>
      </c>
      <c r="I108" s="1" t="s">
        <v>36</v>
      </c>
      <c r="J108" s="1">
        <v>37</v>
      </c>
      <c r="K108" s="1" t="s">
        <v>39</v>
      </c>
      <c r="L108" s="2">
        <v>46319</v>
      </c>
      <c r="M108" s="1">
        <v>18</v>
      </c>
      <c r="N108" s="1" t="s">
        <v>65</v>
      </c>
      <c r="O108" s="3" t="s">
        <v>28</v>
      </c>
    </row>
    <row r="109" spans="1:15" x14ac:dyDescent="0.3">
      <c r="A109" s="18">
        <v>46275.035173611112</v>
      </c>
      <c r="B109" s="19" t="s">
        <v>15</v>
      </c>
      <c r="C109" s="15">
        <v>28.571400000000001</v>
      </c>
      <c r="D109" s="1">
        <v>77.281300000000002</v>
      </c>
      <c r="E109" s="1" t="s">
        <v>47</v>
      </c>
      <c r="F109" s="1" t="s">
        <v>44</v>
      </c>
      <c r="G109" s="1" t="s">
        <v>18</v>
      </c>
      <c r="H109" s="1" t="s">
        <v>19</v>
      </c>
      <c r="I109" s="1" t="s">
        <v>33</v>
      </c>
      <c r="J109" s="1">
        <v>33</v>
      </c>
      <c r="K109" s="1" t="s">
        <v>21</v>
      </c>
      <c r="L109" s="2">
        <v>46319</v>
      </c>
      <c r="M109" s="1">
        <v>17</v>
      </c>
      <c r="N109" s="1" t="s">
        <v>65</v>
      </c>
      <c r="O109" s="3" t="s">
        <v>28</v>
      </c>
    </row>
    <row r="110" spans="1:15" x14ac:dyDescent="0.3">
      <c r="A110" s="18">
        <v>46282.321608796294</v>
      </c>
      <c r="B110" s="19" t="s">
        <v>40</v>
      </c>
      <c r="C110" s="15">
        <v>28.571400000000001</v>
      </c>
      <c r="D110" s="1">
        <v>77.281300000000002</v>
      </c>
      <c r="E110" s="1" t="s">
        <v>47</v>
      </c>
      <c r="F110" s="1" t="s">
        <v>44</v>
      </c>
      <c r="G110" s="1" t="s">
        <v>50</v>
      </c>
      <c r="H110" s="1" t="s">
        <v>19</v>
      </c>
      <c r="I110" s="1" t="s">
        <v>33</v>
      </c>
      <c r="J110" s="1">
        <v>53</v>
      </c>
      <c r="K110" s="1" t="s">
        <v>39</v>
      </c>
      <c r="L110" s="2">
        <v>46319</v>
      </c>
      <c r="M110" s="1">
        <v>16</v>
      </c>
      <c r="N110" s="1" t="s">
        <v>65</v>
      </c>
      <c r="O110" s="3" t="s">
        <v>51</v>
      </c>
    </row>
    <row r="111" spans="1:15" x14ac:dyDescent="0.3">
      <c r="A111" s="18">
        <v>46287.276377314818</v>
      </c>
      <c r="B111" s="19" t="s">
        <v>37</v>
      </c>
      <c r="C111" s="15">
        <v>28.6129</v>
      </c>
      <c r="D111" s="1">
        <v>77.229500000000002</v>
      </c>
      <c r="E111" s="1" t="s">
        <v>43</v>
      </c>
      <c r="F111" s="1" t="s">
        <v>44</v>
      </c>
      <c r="G111" s="1" t="s">
        <v>50</v>
      </c>
      <c r="H111" s="1" t="s">
        <v>32</v>
      </c>
      <c r="I111" s="1" t="s">
        <v>20</v>
      </c>
      <c r="J111" s="1">
        <v>50</v>
      </c>
      <c r="K111" s="1" t="s">
        <v>39</v>
      </c>
      <c r="L111" s="2">
        <v>46319</v>
      </c>
      <c r="M111" s="1">
        <v>16</v>
      </c>
      <c r="N111" s="1" t="s">
        <v>65</v>
      </c>
      <c r="O111" s="3" t="s">
        <v>51</v>
      </c>
    </row>
    <row r="112" spans="1:15" x14ac:dyDescent="0.3">
      <c r="A112" s="18">
        <v>46290.190949074073</v>
      </c>
      <c r="B112" s="19" t="s">
        <v>37</v>
      </c>
      <c r="C112" s="15">
        <v>28.656199999999998</v>
      </c>
      <c r="D112" s="1">
        <v>77.231499999999997</v>
      </c>
      <c r="E112" s="1" t="s">
        <v>55</v>
      </c>
      <c r="F112" s="1" t="s">
        <v>53</v>
      </c>
      <c r="G112" s="1" t="s">
        <v>18</v>
      </c>
      <c r="H112" s="1" t="s">
        <v>27</v>
      </c>
      <c r="I112" s="1" t="s">
        <v>56</v>
      </c>
      <c r="J112" s="1">
        <v>39</v>
      </c>
      <c r="K112" s="1" t="s">
        <v>21</v>
      </c>
      <c r="L112" s="2">
        <v>46319</v>
      </c>
      <c r="M112" s="1">
        <v>16</v>
      </c>
      <c r="N112" s="1" t="s">
        <v>65</v>
      </c>
      <c r="O112" s="3" t="s">
        <v>51</v>
      </c>
    </row>
    <row r="113" spans="1:15" x14ac:dyDescent="0.3">
      <c r="A113" s="18">
        <v>46266</v>
      </c>
      <c r="B113" s="19" t="s">
        <v>42</v>
      </c>
      <c r="C113" s="15">
        <v>28.6328</v>
      </c>
      <c r="D113" s="1">
        <v>77.219499999999996</v>
      </c>
      <c r="E113" s="1" t="s">
        <v>16</v>
      </c>
      <c r="F113" s="1" t="s">
        <v>30</v>
      </c>
      <c r="G113" s="1" t="s">
        <v>45</v>
      </c>
      <c r="H113" s="1" t="s">
        <v>32</v>
      </c>
      <c r="I113" s="1" t="s">
        <v>20</v>
      </c>
      <c r="J113" s="1">
        <v>73</v>
      </c>
      <c r="K113" s="1" t="s">
        <v>21</v>
      </c>
      <c r="L113" s="2">
        <v>46319</v>
      </c>
      <c r="M113" s="1">
        <v>15</v>
      </c>
      <c r="N113" s="1" t="s">
        <v>65</v>
      </c>
      <c r="O113" s="3" t="s">
        <v>51</v>
      </c>
    </row>
    <row r="114" spans="1:15" x14ac:dyDescent="0.3">
      <c r="A114" s="18">
        <v>46294.854270833333</v>
      </c>
      <c r="B114" s="19" t="s">
        <v>15</v>
      </c>
      <c r="C114" s="15">
        <v>28.656199999999998</v>
      </c>
      <c r="D114" s="1">
        <v>77.231499999999997</v>
      </c>
      <c r="E114" s="1" t="s">
        <v>55</v>
      </c>
      <c r="F114" s="1" t="s">
        <v>30</v>
      </c>
      <c r="G114" s="1" t="s">
        <v>18</v>
      </c>
      <c r="H114" s="1" t="s">
        <v>27</v>
      </c>
      <c r="I114" s="1" t="s">
        <v>20</v>
      </c>
      <c r="J114" s="1">
        <v>37</v>
      </c>
      <c r="K114" s="1" t="s">
        <v>39</v>
      </c>
      <c r="L114" s="2">
        <v>46319</v>
      </c>
      <c r="M114" s="1">
        <v>12</v>
      </c>
      <c r="N114" s="1" t="s">
        <v>65</v>
      </c>
      <c r="O114" s="3" t="s">
        <v>51</v>
      </c>
    </row>
    <row r="115" spans="1:15" x14ac:dyDescent="0.3">
      <c r="A115" s="18">
        <v>46288.296481481484</v>
      </c>
      <c r="B115" s="19" t="s">
        <v>29</v>
      </c>
      <c r="C115" s="15">
        <v>28.6129</v>
      </c>
      <c r="D115" s="1">
        <v>77.229500000000002</v>
      </c>
      <c r="E115" s="1" t="s">
        <v>43</v>
      </c>
      <c r="F115" s="1" t="s">
        <v>26</v>
      </c>
      <c r="G115" s="1" t="s">
        <v>45</v>
      </c>
      <c r="H115" s="1" t="s">
        <v>19</v>
      </c>
      <c r="I115" s="1" t="s">
        <v>20</v>
      </c>
      <c r="J115" s="1">
        <v>46</v>
      </c>
      <c r="K115" s="1" t="s">
        <v>39</v>
      </c>
      <c r="L115" s="2">
        <v>46319</v>
      </c>
      <c r="M115" s="1">
        <v>11</v>
      </c>
      <c r="N115" s="1" t="s">
        <v>65</v>
      </c>
      <c r="O115" s="3" t="s">
        <v>57</v>
      </c>
    </row>
    <row r="116" spans="1:15" x14ac:dyDescent="0.3">
      <c r="A116" s="18">
        <v>46276.201006944444</v>
      </c>
      <c r="B116" s="19" t="s">
        <v>29</v>
      </c>
      <c r="C116" s="15">
        <v>28.571400000000001</v>
      </c>
      <c r="D116" s="1">
        <v>77.281300000000002</v>
      </c>
      <c r="E116" s="1" t="s">
        <v>47</v>
      </c>
      <c r="F116" s="1" t="s">
        <v>44</v>
      </c>
      <c r="G116" s="1" t="s">
        <v>18</v>
      </c>
      <c r="H116" s="1" t="s">
        <v>27</v>
      </c>
      <c r="I116" s="1" t="s">
        <v>56</v>
      </c>
      <c r="J116" s="1">
        <v>61</v>
      </c>
      <c r="K116" s="1" t="s">
        <v>21</v>
      </c>
      <c r="L116" s="2">
        <v>46319</v>
      </c>
      <c r="M116" s="1">
        <v>11</v>
      </c>
      <c r="N116" s="1" t="s">
        <v>65</v>
      </c>
      <c r="O116" s="3" t="s">
        <v>57</v>
      </c>
    </row>
    <row r="117" spans="1:15" x14ac:dyDescent="0.3">
      <c r="A117" s="18">
        <v>46283.924618055556</v>
      </c>
      <c r="B117" s="19" t="s">
        <v>24</v>
      </c>
      <c r="C117" s="15">
        <v>28.571400000000001</v>
      </c>
      <c r="D117" s="1">
        <v>77.281300000000002</v>
      </c>
      <c r="E117" s="1" t="s">
        <v>47</v>
      </c>
      <c r="F117" s="1" t="s">
        <v>48</v>
      </c>
      <c r="G117" s="1" t="s">
        <v>45</v>
      </c>
      <c r="H117" s="1" t="s">
        <v>61</v>
      </c>
      <c r="I117" s="1" t="s">
        <v>20</v>
      </c>
      <c r="J117" s="1">
        <v>68</v>
      </c>
      <c r="K117" s="1" t="s">
        <v>21</v>
      </c>
      <c r="L117" s="2">
        <v>46319</v>
      </c>
      <c r="M117" s="1">
        <v>9</v>
      </c>
      <c r="N117" s="1" t="s">
        <v>65</v>
      </c>
      <c r="O117" s="3" t="s">
        <v>57</v>
      </c>
    </row>
    <row r="118" spans="1:15" x14ac:dyDescent="0.3">
      <c r="A118" s="18">
        <v>46275.326631944445</v>
      </c>
      <c r="B118" s="19" t="s">
        <v>46</v>
      </c>
      <c r="C118" s="15">
        <v>28.5562</v>
      </c>
      <c r="D118" s="1">
        <v>77.099999999999994</v>
      </c>
      <c r="E118" s="1" t="s">
        <v>38</v>
      </c>
      <c r="F118" s="1" t="s">
        <v>26</v>
      </c>
      <c r="G118" s="1" t="s">
        <v>45</v>
      </c>
      <c r="H118" s="1" t="s">
        <v>61</v>
      </c>
      <c r="I118" s="1" t="s">
        <v>20</v>
      </c>
      <c r="J118" s="1">
        <v>39</v>
      </c>
      <c r="K118" s="1" t="s">
        <v>21</v>
      </c>
      <c r="L118" s="2">
        <v>46319</v>
      </c>
      <c r="M118" s="1">
        <v>3</v>
      </c>
      <c r="N118" s="1" t="s">
        <v>65</v>
      </c>
      <c r="O118" s="3" t="s">
        <v>23</v>
      </c>
    </row>
    <row r="119" spans="1:15" x14ac:dyDescent="0.3">
      <c r="A119" s="18">
        <v>46272.412060185183</v>
      </c>
      <c r="B119" s="19" t="s">
        <v>54</v>
      </c>
      <c r="C119" s="15">
        <v>28.545300000000001</v>
      </c>
      <c r="D119" s="1">
        <v>77.192499999999995</v>
      </c>
      <c r="E119" s="1" t="s">
        <v>41</v>
      </c>
      <c r="F119" s="1" t="s">
        <v>52</v>
      </c>
      <c r="G119" s="1" t="s">
        <v>18</v>
      </c>
      <c r="H119" s="1" t="s">
        <v>27</v>
      </c>
      <c r="I119" s="1" t="s">
        <v>56</v>
      </c>
      <c r="J119" s="1">
        <v>36</v>
      </c>
      <c r="K119" s="1" t="s">
        <v>34</v>
      </c>
      <c r="L119" s="2">
        <v>46319</v>
      </c>
      <c r="M119" s="1">
        <v>2</v>
      </c>
      <c r="N119" s="1" t="s">
        <v>65</v>
      </c>
      <c r="O119" s="3" t="s">
        <v>23</v>
      </c>
    </row>
    <row r="120" spans="1:15" x14ac:dyDescent="0.3">
      <c r="A120" s="18">
        <v>46289.75377314815</v>
      </c>
      <c r="B120" s="19" t="s">
        <v>15</v>
      </c>
      <c r="C120" s="15">
        <v>28.6328</v>
      </c>
      <c r="D120" s="1">
        <v>77.219499999999996</v>
      </c>
      <c r="E120" s="1" t="s">
        <v>16</v>
      </c>
      <c r="F120" s="1" t="s">
        <v>30</v>
      </c>
      <c r="G120" s="1" t="s">
        <v>50</v>
      </c>
      <c r="H120" s="1" t="s">
        <v>27</v>
      </c>
      <c r="I120" s="1" t="s">
        <v>49</v>
      </c>
      <c r="J120" s="1">
        <v>48</v>
      </c>
      <c r="K120" s="1" t="s">
        <v>39</v>
      </c>
      <c r="L120" s="2">
        <v>46319</v>
      </c>
      <c r="M120" s="1">
        <v>0</v>
      </c>
      <c r="N120" s="1" t="s">
        <v>65</v>
      </c>
      <c r="O120" s="3" t="s">
        <v>23</v>
      </c>
    </row>
    <row r="121" spans="1:15" x14ac:dyDescent="0.3">
      <c r="A121" s="18">
        <v>46270.080405092594</v>
      </c>
      <c r="B121" s="19" t="s">
        <v>40</v>
      </c>
      <c r="C121" s="15">
        <v>28.5562</v>
      </c>
      <c r="D121" s="1">
        <v>77.099999999999994</v>
      </c>
      <c r="E121" s="1" t="s">
        <v>38</v>
      </c>
      <c r="F121" s="1" t="s">
        <v>35</v>
      </c>
      <c r="G121" s="1" t="s">
        <v>18</v>
      </c>
      <c r="H121" s="1" t="s">
        <v>32</v>
      </c>
      <c r="I121" s="1" t="s">
        <v>20</v>
      </c>
      <c r="J121" s="1">
        <v>36</v>
      </c>
      <c r="K121" s="1" t="s">
        <v>21</v>
      </c>
      <c r="L121" s="2">
        <v>46319</v>
      </c>
      <c r="M121" s="1">
        <v>0</v>
      </c>
      <c r="N121" s="1" t="s">
        <v>65</v>
      </c>
      <c r="O121" s="3" t="s">
        <v>23</v>
      </c>
    </row>
    <row r="122" spans="1:15" x14ac:dyDescent="0.3">
      <c r="A122" s="18">
        <v>46271.829143518517</v>
      </c>
      <c r="B122" s="19" t="s">
        <v>37</v>
      </c>
      <c r="C122" s="15">
        <v>28.571400000000001</v>
      </c>
      <c r="D122" s="1">
        <v>77.281300000000002</v>
      </c>
      <c r="E122" s="1" t="s">
        <v>47</v>
      </c>
      <c r="F122" s="1" t="s">
        <v>17</v>
      </c>
      <c r="G122" s="1" t="s">
        <v>50</v>
      </c>
      <c r="H122" s="1" t="s">
        <v>19</v>
      </c>
      <c r="I122" s="1" t="s">
        <v>20</v>
      </c>
      <c r="J122" s="1">
        <v>58</v>
      </c>
      <c r="K122" s="1" t="s">
        <v>21</v>
      </c>
      <c r="L122" s="2">
        <v>46319</v>
      </c>
      <c r="M122" s="1">
        <v>0</v>
      </c>
      <c r="N122" s="1" t="s">
        <v>65</v>
      </c>
      <c r="O122" s="3" t="s">
        <v>23</v>
      </c>
    </row>
    <row r="123" spans="1:15" x14ac:dyDescent="0.3">
      <c r="A123" s="18">
        <v>46281.738692129627</v>
      </c>
      <c r="B123" s="19" t="s">
        <v>37</v>
      </c>
      <c r="C123" s="15">
        <v>28.6129</v>
      </c>
      <c r="D123" s="1">
        <v>77.229500000000002</v>
      </c>
      <c r="E123" s="1" t="s">
        <v>43</v>
      </c>
      <c r="F123" s="1" t="s">
        <v>26</v>
      </c>
      <c r="G123" s="1" t="s">
        <v>50</v>
      </c>
      <c r="H123" s="1" t="s">
        <v>19</v>
      </c>
      <c r="I123" s="1" t="s">
        <v>20</v>
      </c>
      <c r="J123" s="1">
        <v>60</v>
      </c>
      <c r="K123" s="1" t="s">
        <v>39</v>
      </c>
      <c r="L123" s="2">
        <v>46318</v>
      </c>
      <c r="M123" s="1">
        <v>20</v>
      </c>
      <c r="N123" s="1" t="s">
        <v>22</v>
      </c>
      <c r="O123" s="3" t="s">
        <v>28</v>
      </c>
    </row>
    <row r="124" spans="1:15" x14ac:dyDescent="0.3">
      <c r="A124" s="18">
        <v>46288.587939814817</v>
      </c>
      <c r="B124" s="19" t="s">
        <v>40</v>
      </c>
      <c r="C124" s="15">
        <v>28.5562</v>
      </c>
      <c r="D124" s="1">
        <v>77.099999999999994</v>
      </c>
      <c r="E124" s="1" t="s">
        <v>38</v>
      </c>
      <c r="F124" s="1" t="s">
        <v>58</v>
      </c>
      <c r="G124" s="1" t="s">
        <v>50</v>
      </c>
      <c r="H124" s="1" t="s">
        <v>32</v>
      </c>
      <c r="I124" s="1" t="s">
        <v>20</v>
      </c>
      <c r="J124" s="1">
        <v>25</v>
      </c>
      <c r="K124" s="1" t="s">
        <v>39</v>
      </c>
      <c r="L124" s="2">
        <v>46318</v>
      </c>
      <c r="M124" s="1">
        <v>20</v>
      </c>
      <c r="N124" s="1" t="s">
        <v>22</v>
      </c>
      <c r="O124" s="3" t="s">
        <v>28</v>
      </c>
    </row>
    <row r="125" spans="1:15" x14ac:dyDescent="0.3">
      <c r="A125" s="18">
        <v>46288.733668981484</v>
      </c>
      <c r="B125" s="19" t="s">
        <v>24</v>
      </c>
      <c r="C125" s="15">
        <v>28.632999999999999</v>
      </c>
      <c r="D125" s="1">
        <v>77.2196</v>
      </c>
      <c r="E125" s="1" t="s">
        <v>16</v>
      </c>
      <c r="F125" s="1" t="s">
        <v>48</v>
      </c>
      <c r="G125" s="1" t="s">
        <v>18</v>
      </c>
      <c r="H125" s="1" t="s">
        <v>61</v>
      </c>
      <c r="I125" s="1" t="s">
        <v>20</v>
      </c>
      <c r="J125" s="1">
        <v>29</v>
      </c>
      <c r="K125" s="1" t="s">
        <v>34</v>
      </c>
      <c r="L125" s="2">
        <v>46318</v>
      </c>
      <c r="M125" s="1">
        <v>20</v>
      </c>
      <c r="N125" s="1" t="s">
        <v>22</v>
      </c>
      <c r="O125" s="3" t="s">
        <v>28</v>
      </c>
    </row>
    <row r="126" spans="1:15" x14ac:dyDescent="0.3">
      <c r="A126" s="18">
        <v>46269.643217592595</v>
      </c>
      <c r="B126" s="19" t="s">
        <v>42</v>
      </c>
      <c r="C126" s="15">
        <v>28.6328</v>
      </c>
      <c r="D126" s="1">
        <v>77.219499999999996</v>
      </c>
      <c r="E126" s="1" t="s">
        <v>16</v>
      </c>
      <c r="F126" s="1" t="s">
        <v>52</v>
      </c>
      <c r="G126" s="1" t="s">
        <v>18</v>
      </c>
      <c r="H126" s="1" t="s">
        <v>19</v>
      </c>
      <c r="I126" s="1" t="s">
        <v>20</v>
      </c>
      <c r="J126" s="1">
        <v>45</v>
      </c>
      <c r="K126" s="1" t="s">
        <v>34</v>
      </c>
      <c r="L126" s="2">
        <v>46318</v>
      </c>
      <c r="M126" s="1">
        <v>18</v>
      </c>
      <c r="N126" s="1" t="s">
        <v>22</v>
      </c>
      <c r="O126" s="3" t="s">
        <v>28</v>
      </c>
    </row>
    <row r="127" spans="1:15" x14ac:dyDescent="0.3">
      <c r="A127" s="18">
        <v>46269.351759259262</v>
      </c>
      <c r="B127" s="19" t="s">
        <v>46</v>
      </c>
      <c r="C127" s="15">
        <v>28.567599999999999</v>
      </c>
      <c r="D127" s="1">
        <v>77.209599999999995</v>
      </c>
      <c r="E127" s="1" t="s">
        <v>25</v>
      </c>
      <c r="F127" s="1" t="s">
        <v>30</v>
      </c>
      <c r="G127" s="1" t="s">
        <v>50</v>
      </c>
      <c r="H127" s="1" t="s">
        <v>32</v>
      </c>
      <c r="I127" s="1" t="s">
        <v>33</v>
      </c>
      <c r="J127" s="1">
        <v>63</v>
      </c>
      <c r="K127" s="1" t="s">
        <v>21</v>
      </c>
      <c r="L127" s="2">
        <v>46318</v>
      </c>
      <c r="M127" s="1">
        <v>17</v>
      </c>
      <c r="N127" s="1" t="s">
        <v>22</v>
      </c>
      <c r="O127" s="3" t="s">
        <v>28</v>
      </c>
    </row>
    <row r="128" spans="1:15" x14ac:dyDescent="0.3">
      <c r="A128" s="18">
        <v>46292.814074074071</v>
      </c>
      <c r="B128" s="19" t="s">
        <v>54</v>
      </c>
      <c r="C128" s="15">
        <v>28.567599999999999</v>
      </c>
      <c r="D128" s="1">
        <v>77.209599999999995</v>
      </c>
      <c r="E128" s="1" t="s">
        <v>25</v>
      </c>
      <c r="F128" s="1" t="s">
        <v>48</v>
      </c>
      <c r="G128" s="1" t="s">
        <v>18</v>
      </c>
      <c r="H128" s="1" t="s">
        <v>32</v>
      </c>
      <c r="I128" s="1" t="s">
        <v>20</v>
      </c>
      <c r="J128" s="1">
        <v>71</v>
      </c>
      <c r="K128" s="1" t="s">
        <v>21</v>
      </c>
      <c r="L128" s="2">
        <v>46318</v>
      </c>
      <c r="M128" s="1">
        <v>16</v>
      </c>
      <c r="N128" s="1" t="s">
        <v>22</v>
      </c>
      <c r="O128" s="3" t="s">
        <v>51</v>
      </c>
    </row>
    <row r="129" spans="1:15" x14ac:dyDescent="0.3">
      <c r="A129" s="18">
        <v>46287.422106481485</v>
      </c>
      <c r="B129" s="19" t="s">
        <v>37</v>
      </c>
      <c r="C129" s="15">
        <v>28.6328</v>
      </c>
      <c r="D129" s="1">
        <v>77.219499999999996</v>
      </c>
      <c r="E129" s="1" t="s">
        <v>16</v>
      </c>
      <c r="F129" s="1" t="s">
        <v>44</v>
      </c>
      <c r="G129" s="1" t="s">
        <v>18</v>
      </c>
      <c r="H129" s="1" t="s">
        <v>27</v>
      </c>
      <c r="I129" s="1" t="s">
        <v>36</v>
      </c>
      <c r="J129" s="1">
        <v>34</v>
      </c>
      <c r="K129" s="1" t="s">
        <v>39</v>
      </c>
      <c r="L129" s="2">
        <v>46318</v>
      </c>
      <c r="M129" s="1">
        <v>15</v>
      </c>
      <c r="N129" s="1" t="s">
        <v>22</v>
      </c>
      <c r="O129" s="3" t="s">
        <v>51</v>
      </c>
    </row>
    <row r="130" spans="1:15" x14ac:dyDescent="0.3">
      <c r="A130" s="18">
        <v>46277.804016203707</v>
      </c>
      <c r="B130" s="19" t="s">
        <v>46</v>
      </c>
      <c r="C130" s="15">
        <v>28.6129</v>
      </c>
      <c r="D130" s="1">
        <v>77.229500000000002</v>
      </c>
      <c r="E130" s="1" t="s">
        <v>43</v>
      </c>
      <c r="F130" s="1" t="s">
        <v>30</v>
      </c>
      <c r="G130" s="1" t="s">
        <v>18</v>
      </c>
      <c r="H130" s="1" t="s">
        <v>32</v>
      </c>
      <c r="I130" s="1" t="s">
        <v>33</v>
      </c>
      <c r="J130" s="1">
        <v>28</v>
      </c>
      <c r="K130" s="1" t="s">
        <v>39</v>
      </c>
      <c r="L130" s="2">
        <v>46318</v>
      </c>
      <c r="M130" s="1">
        <v>13</v>
      </c>
      <c r="N130" s="1" t="s">
        <v>22</v>
      </c>
      <c r="O130" s="3" t="s">
        <v>51</v>
      </c>
    </row>
    <row r="131" spans="1:15" x14ac:dyDescent="0.3">
      <c r="A131" s="18">
        <v>46271.68341435185</v>
      </c>
      <c r="B131" s="19" t="s">
        <v>42</v>
      </c>
      <c r="C131" s="15">
        <v>28.6328</v>
      </c>
      <c r="D131" s="1">
        <v>77.219499999999996</v>
      </c>
      <c r="E131" s="1" t="s">
        <v>16</v>
      </c>
      <c r="F131" s="1" t="s">
        <v>17</v>
      </c>
      <c r="G131" s="1" t="s">
        <v>18</v>
      </c>
      <c r="H131" s="1" t="s">
        <v>19</v>
      </c>
      <c r="I131" s="1" t="s">
        <v>20</v>
      </c>
      <c r="J131" s="1">
        <v>32</v>
      </c>
      <c r="K131" s="1" t="s">
        <v>39</v>
      </c>
      <c r="L131" s="2">
        <v>46318</v>
      </c>
      <c r="M131" s="1">
        <v>9</v>
      </c>
      <c r="N131" s="1" t="s">
        <v>22</v>
      </c>
      <c r="O131" s="3" t="s">
        <v>57</v>
      </c>
    </row>
    <row r="132" spans="1:15" x14ac:dyDescent="0.3">
      <c r="A132" s="18">
        <v>46290.482407407406</v>
      </c>
      <c r="B132" s="19" t="s">
        <v>24</v>
      </c>
      <c r="C132" s="15">
        <v>28.567599999999999</v>
      </c>
      <c r="D132" s="1">
        <v>77.209599999999995</v>
      </c>
      <c r="E132" s="1" t="s">
        <v>25</v>
      </c>
      <c r="F132" s="1" t="s">
        <v>48</v>
      </c>
      <c r="G132" s="1" t="s">
        <v>45</v>
      </c>
      <c r="H132" s="1" t="s">
        <v>27</v>
      </c>
      <c r="I132" s="1" t="s">
        <v>20</v>
      </c>
      <c r="J132" s="1">
        <v>58</v>
      </c>
      <c r="K132" s="1" t="s">
        <v>21</v>
      </c>
      <c r="L132" s="2">
        <v>46318</v>
      </c>
      <c r="M132" s="1">
        <v>6</v>
      </c>
      <c r="N132" s="1" t="s">
        <v>22</v>
      </c>
      <c r="O132" s="3" t="s">
        <v>57</v>
      </c>
    </row>
    <row r="133" spans="1:15" x14ac:dyDescent="0.3">
      <c r="A133" s="18">
        <v>46272.849247685182</v>
      </c>
      <c r="B133" s="19" t="s">
        <v>29</v>
      </c>
      <c r="C133" s="15">
        <v>28.571400000000001</v>
      </c>
      <c r="D133" s="1">
        <v>77.281300000000002</v>
      </c>
      <c r="E133" s="1" t="s">
        <v>47</v>
      </c>
      <c r="F133" s="1" t="s">
        <v>35</v>
      </c>
      <c r="G133" s="1" t="s">
        <v>18</v>
      </c>
      <c r="H133" s="1" t="s">
        <v>32</v>
      </c>
      <c r="I133" s="1" t="s">
        <v>36</v>
      </c>
      <c r="J133" s="1">
        <v>55</v>
      </c>
      <c r="K133" s="1" t="s">
        <v>34</v>
      </c>
      <c r="L133" s="2">
        <v>46318</v>
      </c>
      <c r="M133" s="1">
        <v>6</v>
      </c>
      <c r="N133" s="1" t="s">
        <v>22</v>
      </c>
      <c r="O133" s="3" t="s">
        <v>57</v>
      </c>
    </row>
    <row r="134" spans="1:15" x14ac:dyDescent="0.3">
      <c r="A134" s="18">
        <v>46279.698495370372</v>
      </c>
      <c r="B134" s="19" t="s">
        <v>42</v>
      </c>
      <c r="C134" s="15">
        <v>28.6328</v>
      </c>
      <c r="D134" s="1">
        <v>77.219499999999996</v>
      </c>
      <c r="E134" s="1" t="s">
        <v>16</v>
      </c>
      <c r="F134" s="1" t="s">
        <v>17</v>
      </c>
      <c r="G134" s="1" t="s">
        <v>18</v>
      </c>
      <c r="H134" s="1" t="s">
        <v>32</v>
      </c>
      <c r="I134" s="1" t="s">
        <v>20</v>
      </c>
      <c r="J134" s="1">
        <v>60</v>
      </c>
      <c r="K134" s="1" t="s">
        <v>39</v>
      </c>
      <c r="L134" s="2">
        <v>46318</v>
      </c>
      <c r="M134" s="1">
        <v>5</v>
      </c>
      <c r="N134" s="1" t="s">
        <v>22</v>
      </c>
      <c r="O134" s="3" t="s">
        <v>23</v>
      </c>
    </row>
    <row r="135" spans="1:15" x14ac:dyDescent="0.3">
      <c r="A135" s="18">
        <v>46288.442210648151</v>
      </c>
      <c r="B135" s="19" t="s">
        <v>42</v>
      </c>
      <c r="C135" s="15">
        <v>28.5562</v>
      </c>
      <c r="D135" s="1">
        <v>77.099999999999994</v>
      </c>
      <c r="E135" s="1" t="s">
        <v>38</v>
      </c>
      <c r="F135" s="1" t="s">
        <v>30</v>
      </c>
      <c r="G135" s="1" t="s">
        <v>18</v>
      </c>
      <c r="H135" s="1" t="s">
        <v>27</v>
      </c>
      <c r="I135" s="1" t="s">
        <v>20</v>
      </c>
      <c r="J135" s="1">
        <v>40</v>
      </c>
      <c r="K135" s="1" t="s">
        <v>21</v>
      </c>
      <c r="L135" s="2">
        <v>46318</v>
      </c>
      <c r="M135" s="1">
        <v>2</v>
      </c>
      <c r="N135" s="1" t="s">
        <v>22</v>
      </c>
      <c r="O135" s="3" t="s">
        <v>23</v>
      </c>
    </row>
    <row r="136" spans="1:15" x14ac:dyDescent="0.3">
      <c r="A136" s="18">
        <v>46272.266331018516</v>
      </c>
      <c r="B136" s="19" t="s">
        <v>54</v>
      </c>
      <c r="C136" s="15">
        <v>28.571400000000001</v>
      </c>
      <c r="D136" s="1">
        <v>77.281300000000002</v>
      </c>
      <c r="E136" s="1" t="s">
        <v>47</v>
      </c>
      <c r="F136" s="1" t="s">
        <v>52</v>
      </c>
      <c r="G136" s="1" t="s">
        <v>18</v>
      </c>
      <c r="H136" s="1" t="s">
        <v>32</v>
      </c>
      <c r="I136" s="1" t="s">
        <v>20</v>
      </c>
      <c r="J136" s="1">
        <v>62</v>
      </c>
      <c r="K136" s="1" t="s">
        <v>34</v>
      </c>
      <c r="L136" s="2">
        <v>46317</v>
      </c>
      <c r="M136" s="1">
        <v>23</v>
      </c>
      <c r="N136" s="1" t="s">
        <v>59</v>
      </c>
      <c r="O136" s="3" t="s">
        <v>23</v>
      </c>
    </row>
    <row r="137" spans="1:15" x14ac:dyDescent="0.3">
      <c r="A137" s="18">
        <v>46286.110555555555</v>
      </c>
      <c r="B137" s="19" t="s">
        <v>15</v>
      </c>
      <c r="C137" s="15">
        <v>28.632999999999999</v>
      </c>
      <c r="D137" s="1">
        <v>77.2196</v>
      </c>
      <c r="E137" s="1" t="s">
        <v>16</v>
      </c>
      <c r="F137" s="1" t="s">
        <v>17</v>
      </c>
      <c r="G137" s="1" t="s">
        <v>50</v>
      </c>
      <c r="H137" s="1" t="s">
        <v>19</v>
      </c>
      <c r="I137" s="1" t="s">
        <v>20</v>
      </c>
      <c r="J137" s="1">
        <v>71</v>
      </c>
      <c r="K137" s="1" t="s">
        <v>39</v>
      </c>
      <c r="L137" s="2">
        <v>46317</v>
      </c>
      <c r="M137" s="1">
        <v>23</v>
      </c>
      <c r="N137" s="1" t="s">
        <v>59</v>
      </c>
      <c r="O137" s="3" t="s">
        <v>23</v>
      </c>
    </row>
    <row r="138" spans="1:15" x14ac:dyDescent="0.3">
      <c r="A138" s="18">
        <v>46266.4371875</v>
      </c>
      <c r="B138" s="19" t="s">
        <v>42</v>
      </c>
      <c r="C138" s="15">
        <v>28.571400000000001</v>
      </c>
      <c r="D138" s="1">
        <v>77.281300000000002</v>
      </c>
      <c r="E138" s="1" t="s">
        <v>47</v>
      </c>
      <c r="F138" s="1" t="s">
        <v>17</v>
      </c>
      <c r="G138" s="1" t="s">
        <v>18</v>
      </c>
      <c r="H138" s="1" t="s">
        <v>61</v>
      </c>
      <c r="I138" s="1" t="s">
        <v>20</v>
      </c>
      <c r="J138" s="1">
        <v>62</v>
      </c>
      <c r="K138" s="1" t="s">
        <v>21</v>
      </c>
      <c r="L138" s="2">
        <v>46317</v>
      </c>
      <c r="M138" s="1">
        <v>19</v>
      </c>
      <c r="N138" s="1" t="s">
        <v>59</v>
      </c>
      <c r="O138" s="3" t="s">
        <v>28</v>
      </c>
    </row>
    <row r="139" spans="1:15" x14ac:dyDescent="0.3">
      <c r="A139" s="18">
        <v>46281.301504629628</v>
      </c>
      <c r="B139" s="19" t="s">
        <v>37</v>
      </c>
      <c r="C139" s="15">
        <v>28.567599999999999</v>
      </c>
      <c r="D139" s="1">
        <v>77.209599999999995</v>
      </c>
      <c r="E139" s="1" t="s">
        <v>25</v>
      </c>
      <c r="F139" s="1" t="s">
        <v>17</v>
      </c>
      <c r="G139" s="1" t="s">
        <v>45</v>
      </c>
      <c r="H139" s="1" t="s">
        <v>27</v>
      </c>
      <c r="I139" s="1" t="s">
        <v>20</v>
      </c>
      <c r="J139" s="1">
        <v>24</v>
      </c>
      <c r="K139" s="1" t="s">
        <v>21</v>
      </c>
      <c r="L139" s="2">
        <v>46317</v>
      </c>
      <c r="M139" s="1">
        <v>17</v>
      </c>
      <c r="N139" s="1" t="s">
        <v>59</v>
      </c>
      <c r="O139" s="3" t="s">
        <v>28</v>
      </c>
    </row>
    <row r="140" spans="1:15" x14ac:dyDescent="0.3">
      <c r="A140" s="18">
        <v>46273.723622685182</v>
      </c>
      <c r="B140" s="19" t="s">
        <v>42</v>
      </c>
      <c r="C140" s="15">
        <v>28.6129</v>
      </c>
      <c r="D140" s="1">
        <v>77.229500000000002</v>
      </c>
      <c r="E140" s="1" t="s">
        <v>43</v>
      </c>
      <c r="F140" s="1" t="s">
        <v>48</v>
      </c>
      <c r="G140" s="1" t="s">
        <v>18</v>
      </c>
      <c r="H140" s="1" t="s">
        <v>19</v>
      </c>
      <c r="I140" s="1" t="s">
        <v>20</v>
      </c>
      <c r="J140" s="1">
        <v>50</v>
      </c>
      <c r="K140" s="1" t="s">
        <v>34</v>
      </c>
      <c r="L140" s="2">
        <v>46317</v>
      </c>
      <c r="M140" s="1">
        <v>16</v>
      </c>
      <c r="N140" s="1" t="s">
        <v>59</v>
      </c>
      <c r="O140" s="3" t="s">
        <v>51</v>
      </c>
    </row>
    <row r="141" spans="1:15" x14ac:dyDescent="0.3">
      <c r="A141" s="18">
        <v>46285.381909722222</v>
      </c>
      <c r="B141" s="19" t="s">
        <v>24</v>
      </c>
      <c r="C141" s="15">
        <v>28.6328</v>
      </c>
      <c r="D141" s="1">
        <v>77.219499999999996</v>
      </c>
      <c r="E141" s="1" t="s">
        <v>16</v>
      </c>
      <c r="F141" s="1" t="s">
        <v>48</v>
      </c>
      <c r="G141" s="1" t="s">
        <v>18</v>
      </c>
      <c r="H141" s="1" t="s">
        <v>19</v>
      </c>
      <c r="I141" s="1" t="s">
        <v>20</v>
      </c>
      <c r="J141" s="1">
        <v>36</v>
      </c>
      <c r="K141" s="1" t="s">
        <v>34</v>
      </c>
      <c r="L141" s="2">
        <v>46317</v>
      </c>
      <c r="M141" s="1">
        <v>16</v>
      </c>
      <c r="N141" s="1" t="s">
        <v>59</v>
      </c>
      <c r="O141" s="3" t="s">
        <v>51</v>
      </c>
    </row>
    <row r="142" spans="1:15" x14ac:dyDescent="0.3">
      <c r="A142" s="18">
        <v>46292.231157407405</v>
      </c>
      <c r="B142" s="19" t="s">
        <v>42</v>
      </c>
      <c r="C142" s="15">
        <v>28.571400000000001</v>
      </c>
      <c r="D142" s="1">
        <v>77.281300000000002</v>
      </c>
      <c r="E142" s="1" t="s">
        <v>47</v>
      </c>
      <c r="F142" s="1" t="s">
        <v>26</v>
      </c>
      <c r="G142" s="1" t="s">
        <v>45</v>
      </c>
      <c r="H142" s="1" t="s">
        <v>19</v>
      </c>
      <c r="I142" s="1" t="s">
        <v>20</v>
      </c>
      <c r="J142" s="1">
        <v>44</v>
      </c>
      <c r="K142" s="1" t="s">
        <v>39</v>
      </c>
      <c r="L142" s="2">
        <v>46317</v>
      </c>
      <c r="M142" s="1">
        <v>14</v>
      </c>
      <c r="N142" s="1" t="s">
        <v>59</v>
      </c>
      <c r="O142" s="3" t="s">
        <v>51</v>
      </c>
    </row>
    <row r="143" spans="1:15" x14ac:dyDescent="0.3">
      <c r="A143" s="18">
        <v>46291.939699074072</v>
      </c>
      <c r="B143" s="19" t="s">
        <v>24</v>
      </c>
      <c r="C143" s="15">
        <v>28.567599999999999</v>
      </c>
      <c r="D143" s="1">
        <v>77.209599999999995</v>
      </c>
      <c r="E143" s="1" t="s">
        <v>25</v>
      </c>
      <c r="F143" s="1" t="s">
        <v>53</v>
      </c>
      <c r="G143" s="1" t="s">
        <v>18</v>
      </c>
      <c r="H143" s="1" t="s">
        <v>27</v>
      </c>
      <c r="I143" s="1" t="s">
        <v>33</v>
      </c>
      <c r="J143" s="1">
        <v>65</v>
      </c>
      <c r="K143" s="1" t="s">
        <v>39</v>
      </c>
      <c r="L143" s="2">
        <v>46317</v>
      </c>
      <c r="M143" s="1">
        <v>14</v>
      </c>
      <c r="N143" s="1" t="s">
        <v>59</v>
      </c>
      <c r="O143" s="3" t="s">
        <v>51</v>
      </c>
    </row>
    <row r="144" spans="1:15" x14ac:dyDescent="0.3">
      <c r="A144" s="18">
        <v>46292.959803240738</v>
      </c>
      <c r="B144" s="19" t="s">
        <v>46</v>
      </c>
      <c r="C144" s="15">
        <v>28.571400000000001</v>
      </c>
      <c r="D144" s="1">
        <v>77.281300000000002</v>
      </c>
      <c r="E144" s="1" t="s">
        <v>47</v>
      </c>
      <c r="F144" s="1" t="s">
        <v>26</v>
      </c>
      <c r="G144" s="1" t="s">
        <v>18</v>
      </c>
      <c r="H144" s="1" t="s">
        <v>27</v>
      </c>
      <c r="I144" s="1" t="s">
        <v>20</v>
      </c>
      <c r="J144" s="1">
        <v>37</v>
      </c>
      <c r="K144" s="1" t="s">
        <v>21</v>
      </c>
      <c r="L144" s="2">
        <v>46317</v>
      </c>
      <c r="M144" s="1">
        <v>14</v>
      </c>
      <c r="N144" s="1" t="s">
        <v>59</v>
      </c>
      <c r="O144" s="3" t="s">
        <v>51</v>
      </c>
    </row>
    <row r="145" spans="1:15" x14ac:dyDescent="0.3">
      <c r="A145" s="18">
        <v>46273.140706018516</v>
      </c>
      <c r="B145" s="19" t="s">
        <v>54</v>
      </c>
      <c r="C145" s="15">
        <v>28.632999999999999</v>
      </c>
      <c r="D145" s="1">
        <v>77.2196</v>
      </c>
      <c r="E145" s="1" t="s">
        <v>16</v>
      </c>
      <c r="F145" s="1" t="s">
        <v>26</v>
      </c>
      <c r="G145" s="1" t="s">
        <v>45</v>
      </c>
      <c r="H145" s="1" t="s">
        <v>27</v>
      </c>
      <c r="I145" s="1" t="s">
        <v>20</v>
      </c>
      <c r="J145" s="1">
        <v>32</v>
      </c>
      <c r="K145" s="1" t="s">
        <v>21</v>
      </c>
      <c r="L145" s="2">
        <v>46317</v>
      </c>
      <c r="M145" s="1">
        <v>13</v>
      </c>
      <c r="N145" s="1" t="s">
        <v>59</v>
      </c>
      <c r="O145" s="3" t="s">
        <v>51</v>
      </c>
    </row>
    <row r="146" spans="1:15" x14ac:dyDescent="0.3">
      <c r="A146" s="18">
        <v>46277.65828703704</v>
      </c>
      <c r="B146" s="19" t="s">
        <v>54</v>
      </c>
      <c r="C146" s="15">
        <v>28.6129</v>
      </c>
      <c r="D146" s="1">
        <v>77.229500000000002</v>
      </c>
      <c r="E146" s="1" t="s">
        <v>43</v>
      </c>
      <c r="F146" s="1" t="s">
        <v>17</v>
      </c>
      <c r="G146" s="1" t="s">
        <v>45</v>
      </c>
      <c r="H146" s="1" t="s">
        <v>27</v>
      </c>
      <c r="I146" s="1" t="s">
        <v>20</v>
      </c>
      <c r="J146" s="1">
        <v>51</v>
      </c>
      <c r="K146" s="1" t="s">
        <v>21</v>
      </c>
      <c r="L146" s="2">
        <v>46317</v>
      </c>
      <c r="M146" s="1">
        <v>11</v>
      </c>
      <c r="N146" s="1" t="s">
        <v>59</v>
      </c>
      <c r="O146" s="3" t="s">
        <v>57</v>
      </c>
    </row>
    <row r="147" spans="1:15" x14ac:dyDescent="0.3">
      <c r="A147" s="18">
        <v>46270.954768518517</v>
      </c>
      <c r="B147" s="19" t="s">
        <v>40</v>
      </c>
      <c r="C147" s="15">
        <v>28.567599999999999</v>
      </c>
      <c r="D147" s="1">
        <v>77.209599999999995</v>
      </c>
      <c r="E147" s="1" t="s">
        <v>25</v>
      </c>
      <c r="F147" s="1" t="s">
        <v>48</v>
      </c>
      <c r="G147" s="1" t="s">
        <v>50</v>
      </c>
      <c r="H147" s="1" t="s">
        <v>32</v>
      </c>
      <c r="I147" s="1" t="s">
        <v>20</v>
      </c>
      <c r="J147" s="1">
        <v>55</v>
      </c>
      <c r="K147" s="1" t="s">
        <v>21</v>
      </c>
      <c r="L147" s="2">
        <v>46317</v>
      </c>
      <c r="M147" s="1">
        <v>9</v>
      </c>
      <c r="N147" s="1" t="s">
        <v>59</v>
      </c>
      <c r="O147" s="3" t="s">
        <v>57</v>
      </c>
    </row>
    <row r="148" spans="1:15" x14ac:dyDescent="0.3">
      <c r="A148" s="18">
        <v>46267.020104166666</v>
      </c>
      <c r="B148" s="19" t="s">
        <v>40</v>
      </c>
      <c r="C148" s="15">
        <v>28.545300000000001</v>
      </c>
      <c r="D148" s="1">
        <v>77.192499999999995</v>
      </c>
      <c r="E148" s="1" t="s">
        <v>41</v>
      </c>
      <c r="F148" s="1" t="s">
        <v>35</v>
      </c>
      <c r="G148" s="1" t="s">
        <v>45</v>
      </c>
      <c r="H148" s="1" t="s">
        <v>27</v>
      </c>
      <c r="I148" s="1" t="s">
        <v>20</v>
      </c>
      <c r="J148" s="1">
        <v>37</v>
      </c>
      <c r="K148" s="1" t="s">
        <v>21</v>
      </c>
      <c r="L148" s="2">
        <v>46317</v>
      </c>
      <c r="M148" s="1">
        <v>6</v>
      </c>
      <c r="N148" s="1" t="s">
        <v>59</v>
      </c>
      <c r="O148" s="3" t="s">
        <v>57</v>
      </c>
    </row>
    <row r="149" spans="1:15" x14ac:dyDescent="0.3">
      <c r="A149" s="18">
        <v>46282.030150462961</v>
      </c>
      <c r="B149" s="19" t="s">
        <v>37</v>
      </c>
      <c r="C149" s="15">
        <v>28.5562</v>
      </c>
      <c r="D149" s="1">
        <v>77.099999999999994</v>
      </c>
      <c r="E149" s="1" t="s">
        <v>38</v>
      </c>
      <c r="F149" s="1" t="s">
        <v>44</v>
      </c>
      <c r="G149" s="1" t="s">
        <v>18</v>
      </c>
      <c r="H149" s="1" t="s">
        <v>32</v>
      </c>
      <c r="I149" s="1" t="s">
        <v>36</v>
      </c>
      <c r="J149" s="1">
        <v>47</v>
      </c>
      <c r="K149" s="1" t="s">
        <v>34</v>
      </c>
      <c r="L149" s="2">
        <v>46317</v>
      </c>
      <c r="M149" s="1">
        <v>5</v>
      </c>
      <c r="N149" s="1" t="s">
        <v>59</v>
      </c>
      <c r="O149" s="3" t="s">
        <v>23</v>
      </c>
    </row>
    <row r="150" spans="1:15" x14ac:dyDescent="0.3">
      <c r="A150" s="18">
        <v>46279.261307870373</v>
      </c>
      <c r="B150" s="19" t="s">
        <v>46</v>
      </c>
      <c r="C150" s="15">
        <v>28.632999999999999</v>
      </c>
      <c r="D150" s="1">
        <v>77.2196</v>
      </c>
      <c r="E150" s="1" t="s">
        <v>16</v>
      </c>
      <c r="F150" s="1" t="s">
        <v>17</v>
      </c>
      <c r="G150" s="1" t="s">
        <v>18</v>
      </c>
      <c r="H150" s="1" t="s">
        <v>19</v>
      </c>
      <c r="I150" s="1" t="s">
        <v>20</v>
      </c>
      <c r="J150" s="1">
        <v>40</v>
      </c>
      <c r="K150" s="1" t="s">
        <v>39</v>
      </c>
      <c r="L150" s="2">
        <v>46317</v>
      </c>
      <c r="M150" s="1">
        <v>4</v>
      </c>
      <c r="N150" s="1" t="s">
        <v>59</v>
      </c>
      <c r="O150" s="3" t="s">
        <v>23</v>
      </c>
    </row>
    <row r="151" spans="1:15" x14ac:dyDescent="0.3">
      <c r="A151" s="18">
        <v>46278.09547453704</v>
      </c>
      <c r="B151" s="19" t="s">
        <v>29</v>
      </c>
      <c r="C151" s="15">
        <v>28.545300000000001</v>
      </c>
      <c r="D151" s="1">
        <v>77.192499999999995</v>
      </c>
      <c r="E151" s="1" t="s">
        <v>41</v>
      </c>
      <c r="F151" s="1" t="s">
        <v>30</v>
      </c>
      <c r="G151" s="1" t="s">
        <v>18</v>
      </c>
      <c r="H151" s="1" t="s">
        <v>32</v>
      </c>
      <c r="I151" s="1" t="s">
        <v>56</v>
      </c>
      <c r="J151" s="1">
        <v>60</v>
      </c>
      <c r="K151" s="1" t="s">
        <v>34</v>
      </c>
      <c r="L151" s="2">
        <v>46317</v>
      </c>
      <c r="M151" s="1">
        <v>3</v>
      </c>
      <c r="N151" s="1" t="s">
        <v>59</v>
      </c>
      <c r="O151" s="3" t="s">
        <v>23</v>
      </c>
    </row>
    <row r="152" spans="1:15" x14ac:dyDescent="0.3">
      <c r="A152" s="18">
        <v>46291.648240740738</v>
      </c>
      <c r="B152" s="19" t="s">
        <v>46</v>
      </c>
      <c r="C152" s="15">
        <v>28.656199999999998</v>
      </c>
      <c r="D152" s="1">
        <v>77.231499999999997</v>
      </c>
      <c r="E152" s="1" t="s">
        <v>55</v>
      </c>
      <c r="F152" s="1" t="s">
        <v>52</v>
      </c>
      <c r="G152" s="1" t="s">
        <v>18</v>
      </c>
      <c r="H152" s="1" t="s">
        <v>32</v>
      </c>
      <c r="I152" s="1" t="s">
        <v>56</v>
      </c>
      <c r="J152" s="1">
        <v>71</v>
      </c>
      <c r="K152" s="1" t="s">
        <v>34</v>
      </c>
      <c r="L152" s="2">
        <v>46317</v>
      </c>
      <c r="M152" s="1">
        <v>3</v>
      </c>
      <c r="N152" s="1" t="s">
        <v>59</v>
      </c>
      <c r="O152" s="3" t="s">
        <v>23</v>
      </c>
    </row>
    <row r="153" spans="1:15" x14ac:dyDescent="0.3">
      <c r="A153" s="18">
        <v>46292.376886574071</v>
      </c>
      <c r="B153" s="19" t="s">
        <v>46</v>
      </c>
      <c r="C153" s="15">
        <v>28.656199999999998</v>
      </c>
      <c r="D153" s="1">
        <v>77.231499999999997</v>
      </c>
      <c r="E153" s="1" t="s">
        <v>55</v>
      </c>
      <c r="F153" s="1" t="s">
        <v>44</v>
      </c>
      <c r="G153" s="1" t="s">
        <v>50</v>
      </c>
      <c r="H153" s="1" t="s">
        <v>27</v>
      </c>
      <c r="I153" s="1" t="s">
        <v>49</v>
      </c>
      <c r="J153" s="1">
        <v>59</v>
      </c>
      <c r="K153" s="1" t="s">
        <v>39</v>
      </c>
      <c r="L153" s="2">
        <v>46317</v>
      </c>
      <c r="M153" s="1">
        <v>2</v>
      </c>
      <c r="N153" s="1" t="s">
        <v>59</v>
      </c>
      <c r="O153" s="3" t="s">
        <v>23</v>
      </c>
    </row>
    <row r="154" spans="1:15" x14ac:dyDescent="0.3">
      <c r="A154" s="18">
        <v>46278.969849537039</v>
      </c>
      <c r="B154" s="19" t="s">
        <v>54</v>
      </c>
      <c r="C154" s="15">
        <v>28.5562</v>
      </c>
      <c r="D154" s="1">
        <v>77.099999999999994</v>
      </c>
      <c r="E154" s="1" t="s">
        <v>38</v>
      </c>
      <c r="F154" s="1" t="s">
        <v>52</v>
      </c>
      <c r="G154" s="1" t="s">
        <v>18</v>
      </c>
      <c r="H154" s="1" t="s">
        <v>32</v>
      </c>
      <c r="I154" s="1" t="s">
        <v>36</v>
      </c>
      <c r="J154" s="1">
        <v>43</v>
      </c>
      <c r="K154" s="1" t="s">
        <v>34</v>
      </c>
      <c r="L154" s="2">
        <v>46317</v>
      </c>
      <c r="M154" s="1">
        <v>0</v>
      </c>
      <c r="N154" s="1" t="s">
        <v>59</v>
      </c>
      <c r="O154" s="3" t="s">
        <v>23</v>
      </c>
    </row>
    <row r="155" spans="1:15" x14ac:dyDescent="0.3">
      <c r="A155" s="18">
        <v>46267.165833333333</v>
      </c>
      <c r="B155" s="19" t="s">
        <v>54</v>
      </c>
      <c r="C155" s="15">
        <v>28.656199999999998</v>
      </c>
      <c r="D155" s="1">
        <v>77.231499999999997</v>
      </c>
      <c r="E155" s="1" t="s">
        <v>55</v>
      </c>
      <c r="F155" s="1" t="s">
        <v>48</v>
      </c>
      <c r="G155" s="1" t="s">
        <v>18</v>
      </c>
      <c r="H155" s="1" t="s">
        <v>19</v>
      </c>
      <c r="I155" s="1" t="s">
        <v>20</v>
      </c>
      <c r="J155" s="1">
        <v>52</v>
      </c>
      <c r="K155" s="1" t="s">
        <v>21</v>
      </c>
      <c r="L155" s="2">
        <v>46316</v>
      </c>
      <c r="M155" s="1">
        <v>23</v>
      </c>
      <c r="N155" s="1" t="s">
        <v>60</v>
      </c>
      <c r="O155" s="3" t="s">
        <v>23</v>
      </c>
    </row>
    <row r="156" spans="1:15" x14ac:dyDescent="0.3">
      <c r="A156" s="18">
        <v>46267.894467592596</v>
      </c>
      <c r="B156" s="19" t="s">
        <v>42</v>
      </c>
      <c r="C156" s="15">
        <v>28.6328</v>
      </c>
      <c r="D156" s="1">
        <v>77.219499999999996</v>
      </c>
      <c r="E156" s="1" t="s">
        <v>16</v>
      </c>
      <c r="F156" s="1" t="s">
        <v>17</v>
      </c>
      <c r="G156" s="1" t="s">
        <v>50</v>
      </c>
      <c r="H156" s="1" t="s">
        <v>32</v>
      </c>
      <c r="I156" s="1" t="s">
        <v>20</v>
      </c>
      <c r="J156" s="1">
        <v>19</v>
      </c>
      <c r="K156" s="1" t="s">
        <v>39</v>
      </c>
      <c r="L156" s="2">
        <v>46316</v>
      </c>
      <c r="M156" s="1">
        <v>22</v>
      </c>
      <c r="N156" s="1" t="s">
        <v>60</v>
      </c>
      <c r="O156" s="3" t="s">
        <v>23</v>
      </c>
    </row>
    <row r="157" spans="1:15" x14ac:dyDescent="0.3">
      <c r="A157" s="18">
        <v>46274.597986111112</v>
      </c>
      <c r="B157" s="19" t="s">
        <v>15</v>
      </c>
      <c r="C157" s="15">
        <v>28.571400000000001</v>
      </c>
      <c r="D157" s="1">
        <v>77.281300000000002</v>
      </c>
      <c r="E157" s="1" t="s">
        <v>47</v>
      </c>
      <c r="F157" s="1" t="s">
        <v>58</v>
      </c>
      <c r="G157" s="1" t="s">
        <v>31</v>
      </c>
      <c r="H157" s="1" t="s">
        <v>19</v>
      </c>
      <c r="I157" s="1" t="s">
        <v>20</v>
      </c>
      <c r="J157" s="1">
        <v>57</v>
      </c>
      <c r="K157" s="1" t="s">
        <v>39</v>
      </c>
      <c r="L157" s="2">
        <v>46316</v>
      </c>
      <c r="M157" s="1">
        <v>19</v>
      </c>
      <c r="N157" s="1" t="s">
        <v>60</v>
      </c>
      <c r="O157" s="3" t="s">
        <v>28</v>
      </c>
    </row>
    <row r="158" spans="1:15" x14ac:dyDescent="0.3">
      <c r="A158" s="18">
        <v>46290.919594907406</v>
      </c>
      <c r="B158" s="19" t="s">
        <v>15</v>
      </c>
      <c r="C158" s="15">
        <v>28.5562</v>
      </c>
      <c r="D158" s="1">
        <v>77.099999999999994</v>
      </c>
      <c r="E158" s="1" t="s">
        <v>38</v>
      </c>
      <c r="F158" s="1" t="s">
        <v>26</v>
      </c>
      <c r="G158" s="1" t="s">
        <v>18</v>
      </c>
      <c r="H158" s="1" t="s">
        <v>27</v>
      </c>
      <c r="I158" s="1" t="s">
        <v>20</v>
      </c>
      <c r="J158" s="1">
        <v>64</v>
      </c>
      <c r="K158" s="1" t="s">
        <v>34</v>
      </c>
      <c r="L158" s="2">
        <v>46316</v>
      </c>
      <c r="M158" s="1">
        <v>18</v>
      </c>
      <c r="N158" s="1" t="s">
        <v>60</v>
      </c>
      <c r="O158" s="3" t="s">
        <v>28</v>
      </c>
    </row>
    <row r="159" spans="1:15" x14ac:dyDescent="0.3">
      <c r="A159" s="18">
        <v>46285.090451388889</v>
      </c>
      <c r="B159" s="19" t="s">
        <v>54</v>
      </c>
      <c r="C159" s="15">
        <v>28.6328</v>
      </c>
      <c r="D159" s="1">
        <v>77.219499999999996</v>
      </c>
      <c r="E159" s="1" t="s">
        <v>16</v>
      </c>
      <c r="F159" s="1" t="s">
        <v>17</v>
      </c>
      <c r="G159" s="1" t="s">
        <v>45</v>
      </c>
      <c r="H159" s="1" t="s">
        <v>27</v>
      </c>
      <c r="I159" s="1" t="s">
        <v>20</v>
      </c>
      <c r="J159" s="1">
        <v>73</v>
      </c>
      <c r="K159" s="1" t="s">
        <v>34</v>
      </c>
      <c r="L159" s="2">
        <v>46316</v>
      </c>
      <c r="M159" s="1">
        <v>18</v>
      </c>
      <c r="N159" s="1" t="s">
        <v>60</v>
      </c>
      <c r="O159" s="3" t="s">
        <v>28</v>
      </c>
    </row>
    <row r="160" spans="1:15" x14ac:dyDescent="0.3">
      <c r="A160" s="18">
        <v>46268.477384259262</v>
      </c>
      <c r="B160" s="19" t="s">
        <v>15</v>
      </c>
      <c r="C160" s="15">
        <v>28.6328</v>
      </c>
      <c r="D160" s="1">
        <v>77.219499999999996</v>
      </c>
      <c r="E160" s="1" t="s">
        <v>16</v>
      </c>
      <c r="F160" s="1" t="s">
        <v>30</v>
      </c>
      <c r="G160" s="1" t="s">
        <v>31</v>
      </c>
      <c r="H160" s="1" t="s">
        <v>32</v>
      </c>
      <c r="I160" s="1" t="s">
        <v>36</v>
      </c>
      <c r="J160" s="1">
        <v>34</v>
      </c>
      <c r="K160" s="1" t="s">
        <v>34</v>
      </c>
      <c r="L160" s="2">
        <v>46316</v>
      </c>
      <c r="M160" s="1">
        <v>16</v>
      </c>
      <c r="N160" s="1" t="s">
        <v>60</v>
      </c>
      <c r="O160" s="3" t="s">
        <v>51</v>
      </c>
    </row>
    <row r="161" spans="1:15" x14ac:dyDescent="0.3">
      <c r="A161" s="18">
        <v>46276.492465277777</v>
      </c>
      <c r="B161" s="19" t="s">
        <v>24</v>
      </c>
      <c r="C161" s="15">
        <v>28.545300000000001</v>
      </c>
      <c r="D161" s="1">
        <v>77.192499999999995</v>
      </c>
      <c r="E161" s="1" t="s">
        <v>41</v>
      </c>
      <c r="F161" s="1" t="s">
        <v>17</v>
      </c>
      <c r="G161" s="1" t="s">
        <v>45</v>
      </c>
      <c r="H161" s="1" t="s">
        <v>27</v>
      </c>
      <c r="I161" s="1" t="s">
        <v>20</v>
      </c>
      <c r="J161" s="1">
        <v>64</v>
      </c>
      <c r="K161" s="1" t="s">
        <v>34</v>
      </c>
      <c r="L161" s="2">
        <v>46316</v>
      </c>
      <c r="M161" s="1">
        <v>16</v>
      </c>
      <c r="N161" s="1" t="s">
        <v>60</v>
      </c>
      <c r="O161" s="3" t="s">
        <v>51</v>
      </c>
    </row>
    <row r="162" spans="1:15" x14ac:dyDescent="0.3">
      <c r="A162" s="18">
        <v>46291.502511574072</v>
      </c>
      <c r="B162" s="19" t="s">
        <v>40</v>
      </c>
      <c r="C162" s="15">
        <v>28.571400000000001</v>
      </c>
      <c r="D162" s="1">
        <v>77.281300000000002</v>
      </c>
      <c r="E162" s="1" t="s">
        <v>47</v>
      </c>
      <c r="F162" s="1" t="s">
        <v>44</v>
      </c>
      <c r="G162" s="1" t="s">
        <v>18</v>
      </c>
      <c r="H162" s="1" t="s">
        <v>27</v>
      </c>
      <c r="I162" s="1" t="s">
        <v>49</v>
      </c>
      <c r="J162" s="1">
        <v>64</v>
      </c>
      <c r="K162" s="1" t="s">
        <v>34</v>
      </c>
      <c r="L162" s="2">
        <v>46316</v>
      </c>
      <c r="M162" s="1">
        <v>15</v>
      </c>
      <c r="N162" s="1" t="s">
        <v>60</v>
      </c>
      <c r="O162" s="3" t="s">
        <v>51</v>
      </c>
    </row>
    <row r="163" spans="1:15" x14ac:dyDescent="0.3">
      <c r="A163" s="18">
        <v>46285.527638888889</v>
      </c>
      <c r="B163" s="19" t="s">
        <v>42</v>
      </c>
      <c r="C163" s="15">
        <v>28.656199999999998</v>
      </c>
      <c r="D163" s="1">
        <v>77.231499999999997</v>
      </c>
      <c r="E163" s="1" t="s">
        <v>55</v>
      </c>
      <c r="F163" s="1" t="s">
        <v>26</v>
      </c>
      <c r="G163" s="1" t="s">
        <v>45</v>
      </c>
      <c r="H163" s="1" t="s">
        <v>27</v>
      </c>
      <c r="I163" s="1" t="s">
        <v>20</v>
      </c>
      <c r="J163" s="1">
        <v>19</v>
      </c>
      <c r="K163" s="1" t="s">
        <v>21</v>
      </c>
      <c r="L163" s="2">
        <v>46316</v>
      </c>
      <c r="M163" s="1">
        <v>14</v>
      </c>
      <c r="N163" s="1" t="s">
        <v>60</v>
      </c>
      <c r="O163" s="3" t="s">
        <v>51</v>
      </c>
    </row>
    <row r="164" spans="1:15" x14ac:dyDescent="0.3">
      <c r="A164" s="18">
        <v>46290.336678240739</v>
      </c>
      <c r="B164" s="19" t="s">
        <v>40</v>
      </c>
      <c r="C164" s="15">
        <v>28.5562</v>
      </c>
      <c r="D164" s="1">
        <v>77.099999999999994</v>
      </c>
      <c r="E164" s="1" t="s">
        <v>38</v>
      </c>
      <c r="F164" s="1" t="s">
        <v>44</v>
      </c>
      <c r="G164" s="1" t="s">
        <v>31</v>
      </c>
      <c r="H164" s="1" t="s">
        <v>19</v>
      </c>
      <c r="I164" s="1" t="s">
        <v>49</v>
      </c>
      <c r="J164" s="1">
        <v>65</v>
      </c>
      <c r="K164" s="1" t="s">
        <v>21</v>
      </c>
      <c r="L164" s="2">
        <v>46316</v>
      </c>
      <c r="M164" s="1">
        <v>13</v>
      </c>
      <c r="N164" s="1" t="s">
        <v>60</v>
      </c>
      <c r="O164" s="3" t="s">
        <v>51</v>
      </c>
    </row>
    <row r="165" spans="1:15" x14ac:dyDescent="0.3">
      <c r="A165" s="18">
        <v>46292.668344907404</v>
      </c>
      <c r="B165" s="19" t="s">
        <v>40</v>
      </c>
      <c r="C165" s="15">
        <v>28.6328</v>
      </c>
      <c r="D165" s="1">
        <v>77.219499999999996</v>
      </c>
      <c r="E165" s="1" t="s">
        <v>16</v>
      </c>
      <c r="F165" s="1" t="s">
        <v>53</v>
      </c>
      <c r="G165" s="1" t="s">
        <v>50</v>
      </c>
      <c r="H165" s="1" t="s">
        <v>19</v>
      </c>
      <c r="I165" s="1" t="s">
        <v>33</v>
      </c>
      <c r="J165" s="1">
        <v>70</v>
      </c>
      <c r="K165" s="1" t="s">
        <v>39</v>
      </c>
      <c r="L165" s="2">
        <v>46316</v>
      </c>
      <c r="M165" s="1">
        <v>13</v>
      </c>
      <c r="N165" s="1" t="s">
        <v>60</v>
      </c>
      <c r="O165" s="3" t="s">
        <v>51</v>
      </c>
    </row>
    <row r="166" spans="1:15" x14ac:dyDescent="0.3">
      <c r="A166" s="18">
        <v>46275.180902777778</v>
      </c>
      <c r="B166" s="19" t="s">
        <v>29</v>
      </c>
      <c r="C166" s="15">
        <v>28.5562</v>
      </c>
      <c r="D166" s="1">
        <v>77.099999999999994</v>
      </c>
      <c r="E166" s="1" t="s">
        <v>38</v>
      </c>
      <c r="F166" s="1" t="s">
        <v>17</v>
      </c>
      <c r="G166" s="1" t="s">
        <v>18</v>
      </c>
      <c r="H166" s="1" t="s">
        <v>32</v>
      </c>
      <c r="I166" s="1" t="s">
        <v>20</v>
      </c>
      <c r="J166" s="1">
        <v>44</v>
      </c>
      <c r="K166" s="1" t="s">
        <v>39</v>
      </c>
      <c r="L166" s="2">
        <v>46316</v>
      </c>
      <c r="M166" s="1">
        <v>13</v>
      </c>
      <c r="N166" s="1" t="s">
        <v>60</v>
      </c>
      <c r="O166" s="3" t="s">
        <v>51</v>
      </c>
    </row>
    <row r="167" spans="1:15" x14ac:dyDescent="0.3">
      <c r="A167" s="18">
        <v>46273.869351851848</v>
      </c>
      <c r="B167" s="19" t="s">
        <v>24</v>
      </c>
      <c r="C167" s="15">
        <v>28.571400000000001</v>
      </c>
      <c r="D167" s="1">
        <v>77.281300000000002</v>
      </c>
      <c r="E167" s="1" t="s">
        <v>47</v>
      </c>
      <c r="F167" s="1" t="s">
        <v>48</v>
      </c>
      <c r="G167" s="1" t="s">
        <v>18</v>
      </c>
      <c r="H167" s="1" t="s">
        <v>27</v>
      </c>
      <c r="I167" s="1" t="s">
        <v>20</v>
      </c>
      <c r="J167" s="1">
        <v>39</v>
      </c>
      <c r="K167" s="1" t="s">
        <v>34</v>
      </c>
      <c r="L167" s="2">
        <v>46316</v>
      </c>
      <c r="M167" s="1">
        <v>12</v>
      </c>
      <c r="N167" s="1" t="s">
        <v>60</v>
      </c>
      <c r="O167" s="3" t="s">
        <v>51</v>
      </c>
    </row>
    <row r="168" spans="1:15" x14ac:dyDescent="0.3">
      <c r="A168" s="18">
        <v>46281.592962962961</v>
      </c>
      <c r="B168" s="19" t="s">
        <v>37</v>
      </c>
      <c r="C168" s="15">
        <v>28.632999999999999</v>
      </c>
      <c r="D168" s="1">
        <v>77.2196</v>
      </c>
      <c r="E168" s="1" t="s">
        <v>16</v>
      </c>
      <c r="F168" s="1" t="s">
        <v>52</v>
      </c>
      <c r="G168" s="1" t="s">
        <v>18</v>
      </c>
      <c r="H168" s="1" t="s">
        <v>61</v>
      </c>
      <c r="I168" s="1" t="s">
        <v>20</v>
      </c>
      <c r="J168" s="1">
        <v>50</v>
      </c>
      <c r="K168" s="1" t="s">
        <v>39</v>
      </c>
      <c r="L168" s="2">
        <v>46316</v>
      </c>
      <c r="M168" s="1">
        <v>12</v>
      </c>
      <c r="N168" s="1" t="s">
        <v>60</v>
      </c>
      <c r="O168" s="3" t="s">
        <v>51</v>
      </c>
    </row>
    <row r="169" spans="1:15" x14ac:dyDescent="0.3">
      <c r="A169" s="18">
        <v>46273.286435185182</v>
      </c>
      <c r="B169" s="19" t="s">
        <v>15</v>
      </c>
      <c r="C169" s="15">
        <v>28.6129</v>
      </c>
      <c r="D169" s="1">
        <v>77.229500000000002</v>
      </c>
      <c r="E169" s="1" t="s">
        <v>43</v>
      </c>
      <c r="F169" s="1" t="s">
        <v>48</v>
      </c>
      <c r="G169" s="1" t="s">
        <v>45</v>
      </c>
      <c r="H169" s="1" t="s">
        <v>27</v>
      </c>
      <c r="I169" s="1" t="s">
        <v>20</v>
      </c>
      <c r="J169" s="1">
        <v>67</v>
      </c>
      <c r="K169" s="1" t="s">
        <v>39</v>
      </c>
      <c r="L169" s="2">
        <v>46316</v>
      </c>
      <c r="M169" s="1">
        <v>11</v>
      </c>
      <c r="N169" s="1" t="s">
        <v>60</v>
      </c>
      <c r="O169" s="3" t="s">
        <v>57</v>
      </c>
    </row>
    <row r="170" spans="1:15" x14ac:dyDescent="0.3">
      <c r="A170" s="18">
        <v>46294.5628125</v>
      </c>
      <c r="B170" s="19" t="s">
        <v>24</v>
      </c>
      <c r="C170" s="15">
        <v>28.632999999999999</v>
      </c>
      <c r="D170" s="1">
        <v>77.2196</v>
      </c>
      <c r="E170" s="1" t="s">
        <v>16</v>
      </c>
      <c r="F170" s="1" t="s">
        <v>52</v>
      </c>
      <c r="G170" s="1" t="s">
        <v>18</v>
      </c>
      <c r="H170" s="1" t="s">
        <v>32</v>
      </c>
      <c r="I170" s="1" t="s">
        <v>36</v>
      </c>
      <c r="J170" s="1">
        <v>50</v>
      </c>
      <c r="K170" s="1" t="s">
        <v>34</v>
      </c>
      <c r="L170" s="2">
        <v>46316</v>
      </c>
      <c r="M170" s="1">
        <v>11</v>
      </c>
      <c r="N170" s="1" t="s">
        <v>60</v>
      </c>
      <c r="O170" s="3" t="s">
        <v>57</v>
      </c>
    </row>
    <row r="171" spans="1:15" x14ac:dyDescent="0.3">
      <c r="A171" s="18">
        <v>46274.452256944445</v>
      </c>
      <c r="B171" s="19" t="s">
        <v>24</v>
      </c>
      <c r="C171" s="15">
        <v>28.6328</v>
      </c>
      <c r="D171" s="1">
        <v>77.219499999999996</v>
      </c>
      <c r="E171" s="1" t="s">
        <v>16</v>
      </c>
      <c r="F171" s="1" t="s">
        <v>30</v>
      </c>
      <c r="G171" s="1" t="s">
        <v>45</v>
      </c>
      <c r="H171" s="1" t="s">
        <v>32</v>
      </c>
      <c r="I171" s="1" t="s">
        <v>33</v>
      </c>
      <c r="J171" s="1">
        <v>66</v>
      </c>
      <c r="K171" s="1" t="s">
        <v>39</v>
      </c>
      <c r="L171" s="2">
        <v>46316</v>
      </c>
      <c r="M171" s="1">
        <v>11</v>
      </c>
      <c r="N171" s="1" t="s">
        <v>60</v>
      </c>
      <c r="O171" s="3" t="s">
        <v>57</v>
      </c>
    </row>
    <row r="172" spans="1:15" x14ac:dyDescent="0.3">
      <c r="A172" s="18">
        <v>46272.994976851849</v>
      </c>
      <c r="B172" s="19" t="s">
        <v>24</v>
      </c>
      <c r="C172" s="15">
        <v>28.6129</v>
      </c>
      <c r="D172" s="1">
        <v>77.229500000000002</v>
      </c>
      <c r="E172" s="1" t="s">
        <v>43</v>
      </c>
      <c r="F172" s="1" t="s">
        <v>53</v>
      </c>
      <c r="G172" s="1" t="s">
        <v>18</v>
      </c>
      <c r="H172" s="1" t="s">
        <v>32</v>
      </c>
      <c r="I172" s="1" t="s">
        <v>36</v>
      </c>
      <c r="J172" s="1">
        <v>52</v>
      </c>
      <c r="K172" s="1" t="s">
        <v>34</v>
      </c>
      <c r="L172" s="2">
        <v>46316</v>
      </c>
      <c r="M172" s="1">
        <v>10</v>
      </c>
      <c r="N172" s="1" t="s">
        <v>60</v>
      </c>
      <c r="O172" s="3" t="s">
        <v>57</v>
      </c>
    </row>
    <row r="173" spans="1:15" x14ac:dyDescent="0.3">
      <c r="A173" s="18">
        <v>46278.824120370373</v>
      </c>
      <c r="B173" s="19" t="s">
        <v>15</v>
      </c>
      <c r="C173" s="15">
        <v>28.656199999999998</v>
      </c>
      <c r="D173" s="1">
        <v>77.231499999999997</v>
      </c>
      <c r="E173" s="1" t="s">
        <v>55</v>
      </c>
      <c r="F173" s="1" t="s">
        <v>26</v>
      </c>
      <c r="G173" s="1" t="s">
        <v>45</v>
      </c>
      <c r="H173" s="1" t="s">
        <v>32</v>
      </c>
      <c r="I173" s="1" t="s">
        <v>20</v>
      </c>
      <c r="J173" s="1">
        <v>71</v>
      </c>
      <c r="K173" s="1" t="s">
        <v>34</v>
      </c>
      <c r="L173" s="2">
        <v>46316</v>
      </c>
      <c r="M173" s="1">
        <v>9</v>
      </c>
      <c r="N173" s="1" t="s">
        <v>60</v>
      </c>
      <c r="O173" s="3" t="s">
        <v>57</v>
      </c>
    </row>
    <row r="174" spans="1:15" x14ac:dyDescent="0.3">
      <c r="A174" s="18">
        <v>46269.060300925928</v>
      </c>
      <c r="B174" s="19" t="s">
        <v>54</v>
      </c>
      <c r="C174" s="15">
        <v>28.5562</v>
      </c>
      <c r="D174" s="1">
        <v>77.099999999999994</v>
      </c>
      <c r="E174" s="1" t="s">
        <v>38</v>
      </c>
      <c r="F174" s="1" t="s">
        <v>58</v>
      </c>
      <c r="G174" s="1" t="s">
        <v>18</v>
      </c>
      <c r="H174" s="1" t="s">
        <v>19</v>
      </c>
      <c r="I174" s="1" t="s">
        <v>20</v>
      </c>
      <c r="J174" s="1">
        <v>60</v>
      </c>
      <c r="K174" s="1" t="s">
        <v>39</v>
      </c>
      <c r="L174" s="2">
        <v>46316</v>
      </c>
      <c r="M174" s="1">
        <v>9</v>
      </c>
      <c r="N174" s="1" t="s">
        <v>60</v>
      </c>
      <c r="O174" s="3" t="s">
        <v>57</v>
      </c>
    </row>
    <row r="175" spans="1:15" x14ac:dyDescent="0.3">
      <c r="A175" s="18">
        <v>46274.306527777779</v>
      </c>
      <c r="B175" s="19" t="s">
        <v>40</v>
      </c>
      <c r="C175" s="15">
        <v>28.6328</v>
      </c>
      <c r="D175" s="1">
        <v>77.219499999999996</v>
      </c>
      <c r="E175" s="1" t="s">
        <v>16</v>
      </c>
      <c r="F175" s="1" t="s">
        <v>17</v>
      </c>
      <c r="G175" s="1" t="s">
        <v>18</v>
      </c>
      <c r="H175" s="1" t="s">
        <v>27</v>
      </c>
      <c r="I175" s="1" t="s">
        <v>20</v>
      </c>
      <c r="J175" s="1">
        <v>54</v>
      </c>
      <c r="K175" s="1" t="s">
        <v>34</v>
      </c>
      <c r="L175" s="2">
        <v>46316</v>
      </c>
      <c r="M175" s="1">
        <v>7</v>
      </c>
      <c r="N175" s="1" t="s">
        <v>60</v>
      </c>
      <c r="O175" s="3" t="s">
        <v>57</v>
      </c>
    </row>
    <row r="176" spans="1:15" x14ac:dyDescent="0.3">
      <c r="A176" s="18">
        <v>46289.31658564815</v>
      </c>
      <c r="B176" s="19" t="s">
        <v>24</v>
      </c>
      <c r="C176" s="15">
        <v>28.632999999999999</v>
      </c>
      <c r="D176" s="1">
        <v>77.2196</v>
      </c>
      <c r="E176" s="1" t="s">
        <v>16</v>
      </c>
      <c r="F176" s="1" t="s">
        <v>48</v>
      </c>
      <c r="G176" s="1" t="s">
        <v>50</v>
      </c>
      <c r="H176" s="1" t="s">
        <v>32</v>
      </c>
      <c r="I176" s="1" t="s">
        <v>20</v>
      </c>
      <c r="J176" s="1">
        <v>20</v>
      </c>
      <c r="K176" s="1" t="s">
        <v>21</v>
      </c>
      <c r="L176" s="2">
        <v>46316</v>
      </c>
      <c r="M176" s="1">
        <v>7</v>
      </c>
      <c r="N176" s="1" t="s">
        <v>60</v>
      </c>
      <c r="O176" s="3" t="s">
        <v>57</v>
      </c>
    </row>
    <row r="177" spans="1:15" x14ac:dyDescent="0.3">
      <c r="A177" s="18">
        <v>46293.979895833334</v>
      </c>
      <c r="B177" s="19" t="s">
        <v>54</v>
      </c>
      <c r="C177" s="15">
        <v>28.571400000000001</v>
      </c>
      <c r="D177" s="1">
        <v>77.281300000000002</v>
      </c>
      <c r="E177" s="1" t="s">
        <v>47</v>
      </c>
      <c r="F177" s="1" t="s">
        <v>26</v>
      </c>
      <c r="G177" s="1" t="s">
        <v>18</v>
      </c>
      <c r="H177" s="1" t="s">
        <v>27</v>
      </c>
      <c r="I177" s="1" t="s">
        <v>20</v>
      </c>
      <c r="J177" s="1">
        <v>59</v>
      </c>
      <c r="K177" s="1" t="s">
        <v>21</v>
      </c>
      <c r="L177" s="2">
        <v>46316</v>
      </c>
      <c r="M177" s="1">
        <v>7</v>
      </c>
      <c r="N177" s="1" t="s">
        <v>60</v>
      </c>
      <c r="O177" s="3" t="s">
        <v>57</v>
      </c>
    </row>
    <row r="178" spans="1:15" x14ac:dyDescent="0.3">
      <c r="A178" s="18">
        <v>46284.798993055556</v>
      </c>
      <c r="B178" s="19" t="s">
        <v>42</v>
      </c>
      <c r="C178" s="15">
        <v>28.6328</v>
      </c>
      <c r="D178" s="1">
        <v>77.219499999999996</v>
      </c>
      <c r="E178" s="1" t="s">
        <v>16</v>
      </c>
      <c r="F178" s="1" t="s">
        <v>30</v>
      </c>
      <c r="G178" s="1" t="s">
        <v>50</v>
      </c>
      <c r="H178" s="1" t="s">
        <v>27</v>
      </c>
      <c r="I178" s="1" t="s">
        <v>49</v>
      </c>
      <c r="J178" s="1">
        <v>27</v>
      </c>
      <c r="K178" s="1" t="s">
        <v>21</v>
      </c>
      <c r="L178" s="2">
        <v>46316</v>
      </c>
      <c r="M178" s="1">
        <v>6</v>
      </c>
      <c r="N178" s="1" t="s">
        <v>60</v>
      </c>
      <c r="O178" s="3" t="s">
        <v>57</v>
      </c>
    </row>
    <row r="179" spans="1:15" x14ac:dyDescent="0.3">
      <c r="A179" s="18">
        <v>46271.391956018517</v>
      </c>
      <c r="B179" s="19" t="s">
        <v>37</v>
      </c>
      <c r="C179" s="15">
        <v>28.632999999999999</v>
      </c>
      <c r="D179" s="1">
        <v>77.2196</v>
      </c>
      <c r="E179" s="1" t="s">
        <v>16</v>
      </c>
      <c r="F179" s="1" t="s">
        <v>17</v>
      </c>
      <c r="G179" s="1" t="s">
        <v>18</v>
      </c>
      <c r="H179" s="1" t="s">
        <v>27</v>
      </c>
      <c r="I179" s="1" t="s">
        <v>20</v>
      </c>
      <c r="J179" s="1">
        <v>59</v>
      </c>
      <c r="K179" s="1" t="s">
        <v>34</v>
      </c>
      <c r="L179" s="2">
        <v>46316</v>
      </c>
      <c r="M179" s="1">
        <v>2</v>
      </c>
      <c r="N179" s="1" t="s">
        <v>60</v>
      </c>
      <c r="O179" s="3" t="s">
        <v>23</v>
      </c>
    </row>
    <row r="180" spans="1:15" x14ac:dyDescent="0.3">
      <c r="A180" s="18">
        <v>46288.87939814815</v>
      </c>
      <c r="B180" s="19" t="s">
        <v>46</v>
      </c>
      <c r="C180" s="15">
        <v>28.567599999999999</v>
      </c>
      <c r="D180" s="1">
        <v>77.209599999999995</v>
      </c>
      <c r="E180" s="1" t="s">
        <v>25</v>
      </c>
      <c r="F180" s="1" t="s">
        <v>53</v>
      </c>
      <c r="G180" s="1" t="s">
        <v>18</v>
      </c>
      <c r="H180" s="1" t="s">
        <v>27</v>
      </c>
      <c r="I180" s="1" t="s">
        <v>33</v>
      </c>
      <c r="J180" s="1">
        <v>73</v>
      </c>
      <c r="K180" s="1" t="s">
        <v>39</v>
      </c>
      <c r="L180" s="2">
        <v>46316</v>
      </c>
      <c r="M180" s="1">
        <v>0</v>
      </c>
      <c r="N180" s="1" t="s">
        <v>60</v>
      </c>
      <c r="O180" s="3" t="s">
        <v>23</v>
      </c>
    </row>
    <row r="181" spans="1:15" x14ac:dyDescent="0.3">
      <c r="A181" s="18">
        <v>46294.125625000001</v>
      </c>
      <c r="B181" s="19" t="s">
        <v>46</v>
      </c>
      <c r="C181" s="15">
        <v>28.571400000000001</v>
      </c>
      <c r="D181" s="1">
        <v>77.281300000000002</v>
      </c>
      <c r="E181" s="1" t="s">
        <v>47</v>
      </c>
      <c r="F181" s="1" t="s">
        <v>53</v>
      </c>
      <c r="G181" s="1" t="s">
        <v>18</v>
      </c>
      <c r="H181" s="1" t="s">
        <v>32</v>
      </c>
      <c r="I181" s="1" t="s">
        <v>33</v>
      </c>
      <c r="J181" s="1">
        <v>50</v>
      </c>
      <c r="K181" s="1" t="s">
        <v>39</v>
      </c>
      <c r="L181" s="2">
        <v>46315</v>
      </c>
      <c r="M181" s="1">
        <v>23</v>
      </c>
      <c r="N181" s="1" t="s">
        <v>62</v>
      </c>
      <c r="O181" s="3" t="s">
        <v>23</v>
      </c>
    </row>
    <row r="182" spans="1:15" x14ac:dyDescent="0.3">
      <c r="A182" s="18">
        <v>46266.145729166667</v>
      </c>
      <c r="B182" s="19" t="s">
        <v>15</v>
      </c>
      <c r="C182" s="15">
        <v>28.656199999999998</v>
      </c>
      <c r="D182" s="1">
        <v>77.231499999999997</v>
      </c>
      <c r="E182" s="1" t="s">
        <v>55</v>
      </c>
      <c r="F182" s="1" t="s">
        <v>44</v>
      </c>
      <c r="G182" s="1" t="s">
        <v>31</v>
      </c>
      <c r="H182" s="1" t="s">
        <v>27</v>
      </c>
      <c r="I182" s="1" t="s">
        <v>49</v>
      </c>
      <c r="J182" s="1">
        <v>34</v>
      </c>
      <c r="K182" s="1" t="s">
        <v>34</v>
      </c>
      <c r="L182" s="2">
        <v>46315</v>
      </c>
      <c r="M182" s="1">
        <v>22</v>
      </c>
      <c r="N182" s="1" t="s">
        <v>62</v>
      </c>
      <c r="O182" s="3" t="s">
        <v>23</v>
      </c>
    </row>
    <row r="183" spans="1:15" x14ac:dyDescent="0.3">
      <c r="A183" s="18">
        <v>46273.577893518515</v>
      </c>
      <c r="B183" s="19" t="s">
        <v>24</v>
      </c>
      <c r="C183" s="15">
        <v>28.567599999999999</v>
      </c>
      <c r="D183" s="1">
        <v>77.209599999999995</v>
      </c>
      <c r="E183" s="1" t="s">
        <v>25</v>
      </c>
      <c r="F183" s="1" t="s">
        <v>30</v>
      </c>
      <c r="G183" s="1" t="s">
        <v>50</v>
      </c>
      <c r="H183" s="1" t="s">
        <v>32</v>
      </c>
      <c r="I183" s="1" t="s">
        <v>36</v>
      </c>
      <c r="J183" s="1">
        <v>57</v>
      </c>
      <c r="K183" s="1" t="s">
        <v>21</v>
      </c>
      <c r="L183" s="2">
        <v>46315</v>
      </c>
      <c r="M183" s="1">
        <v>22</v>
      </c>
      <c r="N183" s="1" t="s">
        <v>62</v>
      </c>
      <c r="O183" s="3" t="s">
        <v>23</v>
      </c>
    </row>
    <row r="184" spans="1:15" x14ac:dyDescent="0.3">
      <c r="A184" s="18">
        <v>46287.713564814818</v>
      </c>
      <c r="B184" s="19" t="s">
        <v>15</v>
      </c>
      <c r="C184" s="15">
        <v>28.567599999999999</v>
      </c>
      <c r="D184" s="1">
        <v>77.209599999999995</v>
      </c>
      <c r="E184" s="1" t="s">
        <v>25</v>
      </c>
      <c r="F184" s="1" t="s">
        <v>35</v>
      </c>
      <c r="G184" s="1" t="s">
        <v>18</v>
      </c>
      <c r="H184" s="1" t="s">
        <v>32</v>
      </c>
      <c r="I184" s="1" t="s">
        <v>33</v>
      </c>
      <c r="J184" s="1">
        <v>19</v>
      </c>
      <c r="K184" s="1" t="s">
        <v>21</v>
      </c>
      <c r="L184" s="2">
        <v>46315</v>
      </c>
      <c r="M184" s="1">
        <v>21</v>
      </c>
      <c r="N184" s="1" t="s">
        <v>62</v>
      </c>
      <c r="O184" s="3" t="s">
        <v>23</v>
      </c>
    </row>
    <row r="185" spans="1:15" x14ac:dyDescent="0.3">
      <c r="A185" s="18">
        <v>46284.944722222222</v>
      </c>
      <c r="B185" s="19" t="s">
        <v>24</v>
      </c>
      <c r="C185" s="15">
        <v>28.567599999999999</v>
      </c>
      <c r="D185" s="1">
        <v>77.209599999999995</v>
      </c>
      <c r="E185" s="1" t="s">
        <v>25</v>
      </c>
      <c r="F185" s="1" t="s">
        <v>48</v>
      </c>
      <c r="G185" s="1" t="s">
        <v>50</v>
      </c>
      <c r="H185" s="1" t="s">
        <v>32</v>
      </c>
      <c r="I185" s="1" t="s">
        <v>20</v>
      </c>
      <c r="J185" s="1">
        <v>69</v>
      </c>
      <c r="K185" s="1" t="s">
        <v>39</v>
      </c>
      <c r="L185" s="2">
        <v>46315</v>
      </c>
      <c r="M185" s="1">
        <v>19</v>
      </c>
      <c r="N185" s="1" t="s">
        <v>62</v>
      </c>
      <c r="O185" s="3" t="s">
        <v>28</v>
      </c>
    </row>
    <row r="186" spans="1:15" x14ac:dyDescent="0.3">
      <c r="A186" s="18">
        <v>46288.005023148151</v>
      </c>
      <c r="B186" s="19" t="s">
        <v>29</v>
      </c>
      <c r="C186" s="15">
        <v>28.632999999999999</v>
      </c>
      <c r="D186" s="1">
        <v>77.2196</v>
      </c>
      <c r="E186" s="1" t="s">
        <v>16</v>
      </c>
      <c r="F186" s="1" t="s">
        <v>35</v>
      </c>
      <c r="G186" s="1" t="s">
        <v>18</v>
      </c>
      <c r="H186" s="1" t="s">
        <v>32</v>
      </c>
      <c r="I186" s="1" t="s">
        <v>33</v>
      </c>
      <c r="J186" s="1">
        <v>69</v>
      </c>
      <c r="K186" s="1" t="s">
        <v>21</v>
      </c>
      <c r="L186" s="2">
        <v>46315</v>
      </c>
      <c r="M186" s="1">
        <v>19</v>
      </c>
      <c r="N186" s="1" t="s">
        <v>62</v>
      </c>
      <c r="O186" s="3" t="s">
        <v>28</v>
      </c>
    </row>
    <row r="187" spans="1:15" x14ac:dyDescent="0.3">
      <c r="A187" s="18">
        <v>46281.010046296295</v>
      </c>
      <c r="B187" s="19" t="s">
        <v>37</v>
      </c>
      <c r="C187" s="15">
        <v>28.6129</v>
      </c>
      <c r="D187" s="1">
        <v>77.229500000000002</v>
      </c>
      <c r="E187" s="1" t="s">
        <v>43</v>
      </c>
      <c r="F187" s="1" t="s">
        <v>48</v>
      </c>
      <c r="G187" s="1" t="s">
        <v>18</v>
      </c>
      <c r="H187" s="1" t="s">
        <v>19</v>
      </c>
      <c r="I187" s="1" t="s">
        <v>20</v>
      </c>
      <c r="J187" s="1">
        <v>28</v>
      </c>
      <c r="K187" s="1" t="s">
        <v>39</v>
      </c>
      <c r="L187" s="2">
        <v>46315</v>
      </c>
      <c r="M187" s="1">
        <v>18</v>
      </c>
      <c r="N187" s="1" t="s">
        <v>62</v>
      </c>
      <c r="O187" s="3" t="s">
        <v>28</v>
      </c>
    </row>
    <row r="188" spans="1:15" x14ac:dyDescent="0.3">
      <c r="A188" s="18">
        <v>46280.427141203705</v>
      </c>
      <c r="B188" s="19" t="s">
        <v>46</v>
      </c>
      <c r="C188" s="15">
        <v>28.5562</v>
      </c>
      <c r="D188" s="1">
        <v>77.099999999999994</v>
      </c>
      <c r="E188" s="1" t="s">
        <v>38</v>
      </c>
      <c r="F188" s="1" t="s">
        <v>48</v>
      </c>
      <c r="G188" s="1" t="s">
        <v>18</v>
      </c>
      <c r="H188" s="1" t="s">
        <v>19</v>
      </c>
      <c r="I188" s="1" t="s">
        <v>20</v>
      </c>
      <c r="J188" s="1">
        <v>57</v>
      </c>
      <c r="K188" s="1" t="s">
        <v>21</v>
      </c>
      <c r="L188" s="2">
        <v>46315</v>
      </c>
      <c r="M188" s="1">
        <v>15</v>
      </c>
      <c r="N188" s="1" t="s">
        <v>62</v>
      </c>
      <c r="O188" s="3" t="s">
        <v>51</v>
      </c>
    </row>
    <row r="189" spans="1:15" x14ac:dyDescent="0.3">
      <c r="A189" s="18">
        <v>46282.90452546296</v>
      </c>
      <c r="B189" s="19" t="s">
        <v>24</v>
      </c>
      <c r="C189" s="15">
        <v>28.6328</v>
      </c>
      <c r="D189" s="1">
        <v>77.219499999999996</v>
      </c>
      <c r="E189" s="1" t="s">
        <v>16</v>
      </c>
      <c r="F189" s="1" t="s">
        <v>26</v>
      </c>
      <c r="G189" s="1" t="s">
        <v>45</v>
      </c>
      <c r="H189" s="1" t="s">
        <v>32</v>
      </c>
      <c r="I189" s="1" t="s">
        <v>20</v>
      </c>
      <c r="J189" s="1">
        <v>22</v>
      </c>
      <c r="K189" s="1" t="s">
        <v>34</v>
      </c>
      <c r="L189" s="2">
        <v>46315</v>
      </c>
      <c r="M189" s="1">
        <v>12</v>
      </c>
      <c r="N189" s="1" t="s">
        <v>62</v>
      </c>
      <c r="O189" s="3" t="s">
        <v>51</v>
      </c>
    </row>
    <row r="190" spans="1:15" x14ac:dyDescent="0.3">
      <c r="A190" s="18">
        <v>46278.678391203706</v>
      </c>
      <c r="B190" s="19" t="s">
        <v>37</v>
      </c>
      <c r="C190" s="15">
        <v>28.6328</v>
      </c>
      <c r="D190" s="1">
        <v>77.219499999999996</v>
      </c>
      <c r="E190" s="1" t="s">
        <v>16</v>
      </c>
      <c r="F190" s="1" t="s">
        <v>44</v>
      </c>
      <c r="G190" s="1" t="s">
        <v>50</v>
      </c>
      <c r="H190" s="1" t="s">
        <v>27</v>
      </c>
      <c r="I190" s="1" t="s">
        <v>49</v>
      </c>
      <c r="J190" s="1">
        <v>19</v>
      </c>
      <c r="K190" s="1" t="s">
        <v>39</v>
      </c>
      <c r="L190" s="2">
        <v>46315</v>
      </c>
      <c r="M190" s="1">
        <v>12</v>
      </c>
      <c r="N190" s="1" t="s">
        <v>62</v>
      </c>
      <c r="O190" s="3" t="s">
        <v>51</v>
      </c>
    </row>
    <row r="191" spans="1:15" x14ac:dyDescent="0.3">
      <c r="A191" s="18">
        <v>46276.78392361111</v>
      </c>
      <c r="B191" s="19" t="s">
        <v>42</v>
      </c>
      <c r="C191" s="15">
        <v>28.5562</v>
      </c>
      <c r="D191" s="1">
        <v>77.099999999999994</v>
      </c>
      <c r="E191" s="1" t="s">
        <v>38</v>
      </c>
      <c r="F191" s="1" t="s">
        <v>30</v>
      </c>
      <c r="G191" s="1" t="s">
        <v>45</v>
      </c>
      <c r="H191" s="1" t="s">
        <v>32</v>
      </c>
      <c r="I191" s="1" t="s">
        <v>33</v>
      </c>
      <c r="J191" s="1">
        <v>18</v>
      </c>
      <c r="K191" s="1" t="s">
        <v>21</v>
      </c>
      <c r="L191" s="2">
        <v>46315</v>
      </c>
      <c r="M191" s="1">
        <v>12</v>
      </c>
      <c r="N191" s="1" t="s">
        <v>62</v>
      </c>
      <c r="O191" s="3" t="s">
        <v>51</v>
      </c>
    </row>
    <row r="192" spans="1:15" x14ac:dyDescent="0.3">
      <c r="A192" s="18">
        <v>46283.633171296293</v>
      </c>
      <c r="B192" s="19" t="s">
        <v>42</v>
      </c>
      <c r="C192" s="15">
        <v>28.656199999999998</v>
      </c>
      <c r="D192" s="1">
        <v>77.231499999999997</v>
      </c>
      <c r="E192" s="1" t="s">
        <v>55</v>
      </c>
      <c r="F192" s="1" t="s">
        <v>58</v>
      </c>
      <c r="G192" s="1" t="s">
        <v>45</v>
      </c>
      <c r="H192" s="1" t="s">
        <v>19</v>
      </c>
      <c r="I192" s="1" t="s">
        <v>20</v>
      </c>
      <c r="J192" s="1">
        <v>64</v>
      </c>
      <c r="K192" s="1" t="s">
        <v>34</v>
      </c>
      <c r="L192" s="2">
        <v>46315</v>
      </c>
      <c r="M192" s="1">
        <v>4</v>
      </c>
      <c r="N192" s="1" t="s">
        <v>62</v>
      </c>
      <c r="O192" s="3" t="s">
        <v>23</v>
      </c>
    </row>
    <row r="193" spans="1:15" x14ac:dyDescent="0.3">
      <c r="A193" s="18">
        <v>46295</v>
      </c>
      <c r="B193" s="19" t="s">
        <v>46</v>
      </c>
      <c r="C193" s="15">
        <v>28.5562</v>
      </c>
      <c r="D193" s="1">
        <v>77.099999999999994</v>
      </c>
      <c r="E193" s="1" t="s">
        <v>38</v>
      </c>
      <c r="F193" s="1" t="s">
        <v>26</v>
      </c>
      <c r="G193" s="1" t="s">
        <v>18</v>
      </c>
      <c r="H193" s="1" t="s">
        <v>32</v>
      </c>
      <c r="I193" s="1" t="s">
        <v>20</v>
      </c>
      <c r="J193" s="1">
        <v>58</v>
      </c>
      <c r="K193" s="1" t="s">
        <v>39</v>
      </c>
      <c r="L193" s="2">
        <v>46315</v>
      </c>
      <c r="M193" s="1">
        <v>0</v>
      </c>
      <c r="N193" s="1" t="s">
        <v>62</v>
      </c>
      <c r="O193" s="3" t="s">
        <v>23</v>
      </c>
    </row>
    <row r="194" spans="1:15" x14ac:dyDescent="0.3">
      <c r="A194" s="18">
        <v>46268.914571759262</v>
      </c>
      <c r="B194" s="19" t="s">
        <v>46</v>
      </c>
      <c r="C194" s="15">
        <v>28.545300000000001</v>
      </c>
      <c r="D194" s="1">
        <v>77.192499999999995</v>
      </c>
      <c r="E194" s="1" t="s">
        <v>41</v>
      </c>
      <c r="F194" s="1" t="s">
        <v>26</v>
      </c>
      <c r="G194" s="1" t="s">
        <v>18</v>
      </c>
      <c r="H194" s="1" t="s">
        <v>27</v>
      </c>
      <c r="I194" s="1" t="s">
        <v>20</v>
      </c>
      <c r="J194" s="1">
        <v>48</v>
      </c>
      <c r="K194" s="1" t="s">
        <v>34</v>
      </c>
      <c r="L194" s="2">
        <v>46314</v>
      </c>
      <c r="M194" s="1">
        <v>22</v>
      </c>
      <c r="N194" s="1" t="s">
        <v>63</v>
      </c>
      <c r="O194" s="3" t="s">
        <v>23</v>
      </c>
    </row>
    <row r="195" spans="1:15" x14ac:dyDescent="0.3">
      <c r="A195" s="18">
        <v>46293.396979166668</v>
      </c>
      <c r="B195" s="19" t="s">
        <v>37</v>
      </c>
      <c r="C195" s="15">
        <v>28.545300000000001</v>
      </c>
      <c r="D195" s="1">
        <v>77.192499999999995</v>
      </c>
      <c r="E195" s="1" t="s">
        <v>41</v>
      </c>
      <c r="F195" s="1" t="s">
        <v>53</v>
      </c>
      <c r="G195" s="1" t="s">
        <v>18</v>
      </c>
      <c r="H195" s="1" t="s">
        <v>27</v>
      </c>
      <c r="I195" s="1" t="s">
        <v>56</v>
      </c>
      <c r="J195" s="1">
        <v>66</v>
      </c>
      <c r="K195" s="1" t="s">
        <v>34</v>
      </c>
      <c r="L195" s="2">
        <v>46314</v>
      </c>
      <c r="M195" s="1">
        <v>22</v>
      </c>
      <c r="N195" s="1" t="s">
        <v>63</v>
      </c>
      <c r="O195" s="3" t="s">
        <v>23</v>
      </c>
    </row>
    <row r="196" spans="1:15" x14ac:dyDescent="0.3">
      <c r="A196" s="18">
        <v>46276.346736111111</v>
      </c>
      <c r="B196" s="19" t="s">
        <v>24</v>
      </c>
      <c r="C196" s="15">
        <v>28.567599999999999</v>
      </c>
      <c r="D196" s="1">
        <v>77.209599999999995</v>
      </c>
      <c r="E196" s="1" t="s">
        <v>25</v>
      </c>
      <c r="F196" s="1" t="s">
        <v>26</v>
      </c>
      <c r="G196" s="1" t="s">
        <v>18</v>
      </c>
      <c r="H196" s="1" t="s">
        <v>32</v>
      </c>
      <c r="I196" s="1" t="s">
        <v>20</v>
      </c>
      <c r="J196" s="1">
        <v>35</v>
      </c>
      <c r="K196" s="1" t="s">
        <v>34</v>
      </c>
      <c r="L196" s="2">
        <v>46314</v>
      </c>
      <c r="M196" s="1">
        <v>21</v>
      </c>
      <c r="N196" s="1" t="s">
        <v>63</v>
      </c>
      <c r="O196" s="3" t="s">
        <v>23</v>
      </c>
    </row>
    <row r="197" spans="1:15" x14ac:dyDescent="0.3">
      <c r="A197" s="18">
        <v>46281.447233796294</v>
      </c>
      <c r="B197" s="19" t="s">
        <v>15</v>
      </c>
      <c r="C197" s="15">
        <v>28.6129</v>
      </c>
      <c r="D197" s="1">
        <v>77.229500000000002</v>
      </c>
      <c r="E197" s="1" t="s">
        <v>43</v>
      </c>
      <c r="F197" s="1" t="s">
        <v>30</v>
      </c>
      <c r="G197" s="1" t="s">
        <v>50</v>
      </c>
      <c r="H197" s="1" t="s">
        <v>19</v>
      </c>
      <c r="I197" s="1" t="s">
        <v>36</v>
      </c>
      <c r="J197" s="1">
        <v>42</v>
      </c>
      <c r="K197" s="1" t="s">
        <v>39</v>
      </c>
      <c r="L197" s="2">
        <v>46314</v>
      </c>
      <c r="M197" s="1">
        <v>21</v>
      </c>
      <c r="N197" s="1" t="s">
        <v>63</v>
      </c>
      <c r="O197" s="3" t="s">
        <v>23</v>
      </c>
    </row>
    <row r="198" spans="1:15" x14ac:dyDescent="0.3">
      <c r="A198" s="18">
        <v>46268.040196759262</v>
      </c>
      <c r="B198" s="19" t="s">
        <v>24</v>
      </c>
      <c r="C198" s="15">
        <v>28.656199999999998</v>
      </c>
      <c r="D198" s="1">
        <v>77.231499999999997</v>
      </c>
      <c r="E198" s="1" t="s">
        <v>55</v>
      </c>
      <c r="F198" s="1" t="s">
        <v>44</v>
      </c>
      <c r="G198" s="1" t="s">
        <v>18</v>
      </c>
      <c r="H198" s="1" t="s">
        <v>27</v>
      </c>
      <c r="I198" s="1" t="s">
        <v>36</v>
      </c>
      <c r="J198" s="1">
        <v>43</v>
      </c>
      <c r="K198" s="1" t="s">
        <v>34</v>
      </c>
      <c r="L198" s="2">
        <v>46314</v>
      </c>
      <c r="M198" s="1">
        <v>20</v>
      </c>
      <c r="N198" s="1" t="s">
        <v>63</v>
      </c>
      <c r="O198" s="3" t="s">
        <v>28</v>
      </c>
    </row>
    <row r="199" spans="1:15" x14ac:dyDescent="0.3">
      <c r="A199" s="18">
        <v>46279.407037037039</v>
      </c>
      <c r="B199" s="19" t="s">
        <v>15</v>
      </c>
      <c r="C199" s="15">
        <v>28.6328</v>
      </c>
      <c r="D199" s="1">
        <v>77.219499999999996</v>
      </c>
      <c r="E199" s="1" t="s">
        <v>16</v>
      </c>
      <c r="F199" s="1" t="s">
        <v>17</v>
      </c>
      <c r="G199" s="1" t="s">
        <v>18</v>
      </c>
      <c r="H199" s="1" t="s">
        <v>27</v>
      </c>
      <c r="I199" s="1" t="s">
        <v>20</v>
      </c>
      <c r="J199" s="1">
        <v>65</v>
      </c>
      <c r="K199" s="1" t="s">
        <v>34</v>
      </c>
      <c r="L199" s="2">
        <v>46314</v>
      </c>
      <c r="M199" s="1">
        <v>19</v>
      </c>
      <c r="N199" s="1" t="s">
        <v>63</v>
      </c>
      <c r="O199" s="3" t="s">
        <v>28</v>
      </c>
    </row>
    <row r="200" spans="1:15" x14ac:dyDescent="0.3">
      <c r="A200" s="18">
        <v>46292.085428240738</v>
      </c>
      <c r="B200" s="19" t="s">
        <v>29</v>
      </c>
      <c r="C200" s="15">
        <v>28.656199999999998</v>
      </c>
      <c r="D200" s="1">
        <v>77.231499999999997</v>
      </c>
      <c r="E200" s="1" t="s">
        <v>55</v>
      </c>
      <c r="F200" s="1" t="s">
        <v>17</v>
      </c>
      <c r="G200" s="1" t="s">
        <v>18</v>
      </c>
      <c r="H200" s="1" t="s">
        <v>27</v>
      </c>
      <c r="I200" s="1" t="s">
        <v>20</v>
      </c>
      <c r="J200" s="1">
        <v>58</v>
      </c>
      <c r="K200" s="1" t="s">
        <v>21</v>
      </c>
      <c r="L200" s="2">
        <v>46314</v>
      </c>
      <c r="M200" s="1">
        <v>19</v>
      </c>
      <c r="N200" s="1" t="s">
        <v>63</v>
      </c>
      <c r="O200" s="3" t="s">
        <v>28</v>
      </c>
    </row>
    <row r="201" spans="1:15" x14ac:dyDescent="0.3">
      <c r="A201" s="18">
        <v>46280.864317129628</v>
      </c>
      <c r="B201" s="19" t="s">
        <v>40</v>
      </c>
      <c r="C201" s="15">
        <v>28.567599999999999</v>
      </c>
      <c r="D201" s="1">
        <v>77.209599999999995</v>
      </c>
      <c r="E201" s="1" t="s">
        <v>25</v>
      </c>
      <c r="F201" s="1" t="s">
        <v>17</v>
      </c>
      <c r="G201" s="1" t="s">
        <v>18</v>
      </c>
      <c r="H201" s="1" t="s">
        <v>27</v>
      </c>
      <c r="I201" s="1" t="s">
        <v>20</v>
      </c>
      <c r="J201" s="1">
        <v>48</v>
      </c>
      <c r="K201" s="1" t="s">
        <v>39</v>
      </c>
      <c r="L201" s="2">
        <v>46314</v>
      </c>
      <c r="M201" s="1">
        <v>19</v>
      </c>
      <c r="N201" s="1" t="s">
        <v>63</v>
      </c>
      <c r="O201" s="3" t="s">
        <v>28</v>
      </c>
    </row>
    <row r="202" spans="1:15" x14ac:dyDescent="0.3">
      <c r="A202" s="20">
        <v>46296.064756944441</v>
      </c>
      <c r="B202" s="21" t="s">
        <v>54</v>
      </c>
      <c r="C202" s="15">
        <v>28.656199999999998</v>
      </c>
      <c r="D202" s="1">
        <v>77.231499999999997</v>
      </c>
      <c r="E202" s="1" t="s">
        <v>55</v>
      </c>
      <c r="F202" s="1" t="s">
        <v>53</v>
      </c>
      <c r="G202" s="1" t="s">
        <v>45</v>
      </c>
      <c r="H202" s="1" t="s">
        <v>32</v>
      </c>
      <c r="I202" s="1" t="s">
        <v>56</v>
      </c>
      <c r="J202" s="1">
        <v>44</v>
      </c>
      <c r="K202" s="1" t="s">
        <v>34</v>
      </c>
      <c r="L202" s="2">
        <v>46314</v>
      </c>
      <c r="M202" s="1">
        <v>18</v>
      </c>
      <c r="N202" s="1" t="s">
        <v>63</v>
      </c>
      <c r="O202" s="3" t="s">
        <v>28</v>
      </c>
    </row>
    <row r="203" spans="1:15" x14ac:dyDescent="0.3">
      <c r="A203" s="22">
        <v>46296.064641203702</v>
      </c>
      <c r="B203" s="23" t="s">
        <v>37</v>
      </c>
      <c r="C203" s="15">
        <v>28.656199999999998</v>
      </c>
      <c r="D203" s="1">
        <v>77.231499999999997</v>
      </c>
      <c r="E203" s="1" t="s">
        <v>55</v>
      </c>
      <c r="F203" s="1" t="s">
        <v>53</v>
      </c>
      <c r="G203" s="1" t="s">
        <v>50</v>
      </c>
      <c r="H203" s="1" t="s">
        <v>32</v>
      </c>
      <c r="I203" s="1" t="s">
        <v>56</v>
      </c>
      <c r="J203" s="1">
        <v>23</v>
      </c>
      <c r="K203" s="1" t="s">
        <v>39</v>
      </c>
      <c r="L203" s="2">
        <v>46314</v>
      </c>
      <c r="M203" s="1">
        <v>14</v>
      </c>
      <c r="N203" s="1" t="s">
        <v>63</v>
      </c>
      <c r="O203" s="3" t="s">
        <v>51</v>
      </c>
    </row>
    <row r="204" spans="1:15" x14ac:dyDescent="0.3">
      <c r="A204" s="20">
        <v>46296.064525462964</v>
      </c>
      <c r="B204" s="21" t="s">
        <v>42</v>
      </c>
      <c r="C204" s="15">
        <v>28.656199999999998</v>
      </c>
      <c r="D204" s="1">
        <v>77.231499999999997</v>
      </c>
      <c r="E204" s="1" t="s">
        <v>55</v>
      </c>
      <c r="F204" s="1" t="s">
        <v>26</v>
      </c>
      <c r="G204" s="1" t="s">
        <v>18</v>
      </c>
      <c r="H204" s="1" t="s">
        <v>32</v>
      </c>
      <c r="I204" s="1" t="s">
        <v>20</v>
      </c>
      <c r="J204" s="1">
        <v>44</v>
      </c>
      <c r="K204" s="1" t="s">
        <v>21</v>
      </c>
      <c r="L204" s="2">
        <v>46314</v>
      </c>
      <c r="M204" s="1">
        <v>12</v>
      </c>
      <c r="N204" s="1" t="s">
        <v>63</v>
      </c>
      <c r="O204" s="3" t="s">
        <v>51</v>
      </c>
    </row>
    <row r="205" spans="1:15" x14ac:dyDescent="0.3">
      <c r="A205" s="22">
        <v>46296.064409722225</v>
      </c>
      <c r="B205" s="23" t="s">
        <v>24</v>
      </c>
      <c r="C205" s="15">
        <v>28.567599999999999</v>
      </c>
      <c r="D205" s="1">
        <v>77.209599999999995</v>
      </c>
      <c r="E205" s="1" t="s">
        <v>25</v>
      </c>
      <c r="F205" s="1" t="s">
        <v>53</v>
      </c>
      <c r="G205" s="1" t="s">
        <v>50</v>
      </c>
      <c r="H205" s="1" t="s">
        <v>61</v>
      </c>
      <c r="I205" s="1" t="s">
        <v>56</v>
      </c>
      <c r="J205" s="1">
        <v>42</v>
      </c>
      <c r="K205" s="1" t="s">
        <v>34</v>
      </c>
      <c r="L205" s="2">
        <v>46314</v>
      </c>
      <c r="M205" s="1">
        <v>11</v>
      </c>
      <c r="N205" s="1" t="s">
        <v>63</v>
      </c>
      <c r="O205" s="3" t="s">
        <v>57</v>
      </c>
    </row>
    <row r="206" spans="1:15" x14ac:dyDescent="0.3">
      <c r="A206" s="20">
        <v>46296.064293981479</v>
      </c>
      <c r="B206" s="21" t="s">
        <v>42</v>
      </c>
      <c r="C206" s="15">
        <v>28.571400000000001</v>
      </c>
      <c r="D206" s="1">
        <v>77.281300000000002</v>
      </c>
      <c r="E206" s="1" t="s">
        <v>47</v>
      </c>
      <c r="F206" s="1" t="s">
        <v>52</v>
      </c>
      <c r="G206" s="1" t="s">
        <v>45</v>
      </c>
      <c r="H206" s="1" t="s">
        <v>32</v>
      </c>
      <c r="I206" s="1" t="s">
        <v>49</v>
      </c>
      <c r="J206" s="1">
        <v>56</v>
      </c>
      <c r="K206" s="1" t="s">
        <v>39</v>
      </c>
      <c r="L206" s="2">
        <v>46314</v>
      </c>
      <c r="M206" s="1">
        <v>11</v>
      </c>
      <c r="N206" s="1" t="s">
        <v>63</v>
      </c>
      <c r="O206" s="3" t="s">
        <v>57</v>
      </c>
    </row>
    <row r="207" spans="1:15" x14ac:dyDescent="0.3">
      <c r="A207" s="22">
        <v>46296.06417824074</v>
      </c>
      <c r="B207" s="23" t="s">
        <v>46</v>
      </c>
      <c r="C207" s="15">
        <v>28.545300000000001</v>
      </c>
      <c r="D207" s="1">
        <v>77.192499999999995</v>
      </c>
      <c r="E207" s="1" t="s">
        <v>41</v>
      </c>
      <c r="F207" s="1" t="s">
        <v>26</v>
      </c>
      <c r="G207" s="1" t="s">
        <v>45</v>
      </c>
      <c r="H207" s="1" t="s">
        <v>27</v>
      </c>
      <c r="I207" s="1" t="s">
        <v>20</v>
      </c>
      <c r="J207" s="1">
        <v>41</v>
      </c>
      <c r="K207" s="1" t="s">
        <v>39</v>
      </c>
      <c r="L207" s="2">
        <v>46314</v>
      </c>
      <c r="M207" s="1">
        <v>8</v>
      </c>
      <c r="N207" s="1" t="s">
        <v>63</v>
      </c>
      <c r="O207" s="3" t="s">
        <v>57</v>
      </c>
    </row>
    <row r="208" spans="1:15" x14ac:dyDescent="0.3">
      <c r="A208" s="20">
        <v>46296.064062500001</v>
      </c>
      <c r="B208" s="21" t="s">
        <v>29</v>
      </c>
      <c r="C208" s="15">
        <v>28.545300000000001</v>
      </c>
      <c r="D208" s="1">
        <v>77.192499999999995</v>
      </c>
      <c r="E208" s="1" t="s">
        <v>41</v>
      </c>
      <c r="F208" s="1" t="s">
        <v>26</v>
      </c>
      <c r="G208" s="1" t="s">
        <v>50</v>
      </c>
      <c r="H208" s="1" t="s">
        <v>27</v>
      </c>
      <c r="I208" s="1" t="s">
        <v>20</v>
      </c>
      <c r="J208" s="1">
        <v>63</v>
      </c>
      <c r="K208" s="1" t="s">
        <v>21</v>
      </c>
      <c r="L208" s="2">
        <v>46314</v>
      </c>
      <c r="M208" s="1">
        <v>6</v>
      </c>
      <c r="N208" s="1" t="s">
        <v>63</v>
      </c>
      <c r="O208" s="3" t="s">
        <v>57</v>
      </c>
    </row>
    <row r="209" spans="1:15" x14ac:dyDescent="0.3">
      <c r="A209" s="22">
        <v>46296.063946759263</v>
      </c>
      <c r="B209" s="23" t="s">
        <v>24</v>
      </c>
      <c r="C209" s="15">
        <v>28.6328</v>
      </c>
      <c r="D209" s="1">
        <v>77.219499999999996</v>
      </c>
      <c r="E209" s="1" t="s">
        <v>16</v>
      </c>
      <c r="F209" s="1" t="s">
        <v>17</v>
      </c>
      <c r="G209" s="1" t="s">
        <v>45</v>
      </c>
      <c r="H209" s="1" t="s">
        <v>27</v>
      </c>
      <c r="I209" s="1" t="s">
        <v>20</v>
      </c>
      <c r="J209" s="1">
        <v>40</v>
      </c>
      <c r="K209" s="1" t="s">
        <v>39</v>
      </c>
      <c r="L209" s="2">
        <v>46314</v>
      </c>
      <c r="M209" s="1">
        <v>3</v>
      </c>
      <c r="N209" s="1" t="s">
        <v>63</v>
      </c>
      <c r="O209" s="3" t="s">
        <v>23</v>
      </c>
    </row>
    <row r="210" spans="1:15" x14ac:dyDescent="0.3">
      <c r="A210" s="20">
        <v>46296.063831018517</v>
      </c>
      <c r="B210" s="21" t="s">
        <v>15</v>
      </c>
      <c r="C210" s="15">
        <v>28.632999999999999</v>
      </c>
      <c r="D210" s="1">
        <v>77.2196</v>
      </c>
      <c r="E210" s="1" t="s">
        <v>16</v>
      </c>
      <c r="F210" s="1" t="s">
        <v>30</v>
      </c>
      <c r="G210" s="1" t="s">
        <v>50</v>
      </c>
      <c r="H210" s="1" t="s">
        <v>19</v>
      </c>
      <c r="I210" s="1" t="s">
        <v>56</v>
      </c>
      <c r="J210" s="1">
        <v>19</v>
      </c>
      <c r="K210" s="1" t="s">
        <v>21</v>
      </c>
      <c r="L210" s="2">
        <v>46314</v>
      </c>
      <c r="M210" s="1">
        <v>1</v>
      </c>
      <c r="N210" s="1" t="s">
        <v>63</v>
      </c>
      <c r="O210" s="3" t="s">
        <v>23</v>
      </c>
    </row>
    <row r="211" spans="1:15" x14ac:dyDescent="0.3">
      <c r="A211" s="22">
        <v>46296.063715277778</v>
      </c>
      <c r="B211" s="23" t="s">
        <v>54</v>
      </c>
      <c r="C211" s="15">
        <v>28.632999999999999</v>
      </c>
      <c r="D211" s="1">
        <v>77.2196</v>
      </c>
      <c r="E211" s="1" t="s">
        <v>16</v>
      </c>
      <c r="F211" s="1" t="s">
        <v>58</v>
      </c>
      <c r="G211" s="1" t="s">
        <v>50</v>
      </c>
      <c r="H211" s="1" t="s">
        <v>19</v>
      </c>
      <c r="I211" s="1" t="s">
        <v>20</v>
      </c>
      <c r="J211" s="1">
        <v>48</v>
      </c>
      <c r="K211" s="1" t="s">
        <v>21</v>
      </c>
      <c r="L211" s="2">
        <v>46314</v>
      </c>
      <c r="M211" s="1">
        <v>0</v>
      </c>
      <c r="N211" s="1" t="s">
        <v>63</v>
      </c>
      <c r="O211" s="3" t="s">
        <v>23</v>
      </c>
    </row>
    <row r="212" spans="1:15" x14ac:dyDescent="0.3">
      <c r="A212" s="20">
        <v>46296.063599537039</v>
      </c>
      <c r="B212" s="21" t="s">
        <v>54</v>
      </c>
      <c r="C212" s="15">
        <v>28.6129</v>
      </c>
      <c r="D212" s="1">
        <v>77.229500000000002</v>
      </c>
      <c r="E212" s="1" t="s">
        <v>43</v>
      </c>
      <c r="F212" s="1" t="s">
        <v>52</v>
      </c>
      <c r="G212" s="1" t="s">
        <v>45</v>
      </c>
      <c r="H212" s="1" t="s">
        <v>27</v>
      </c>
      <c r="I212" s="1" t="s">
        <v>49</v>
      </c>
      <c r="J212" s="1">
        <v>69</v>
      </c>
      <c r="K212" s="1" t="s">
        <v>39</v>
      </c>
      <c r="L212" s="2">
        <v>46313</v>
      </c>
      <c r="M212" s="1">
        <v>23</v>
      </c>
      <c r="N212" s="1" t="s">
        <v>64</v>
      </c>
      <c r="O212" s="3" t="s">
        <v>23</v>
      </c>
    </row>
    <row r="213" spans="1:15" x14ac:dyDescent="0.3">
      <c r="A213" s="22">
        <v>46296.063483796293</v>
      </c>
      <c r="B213" s="23" t="s">
        <v>46</v>
      </c>
      <c r="C213" s="15">
        <v>28.545300000000001</v>
      </c>
      <c r="D213" s="1">
        <v>77.192499999999995</v>
      </c>
      <c r="E213" s="1" t="s">
        <v>41</v>
      </c>
      <c r="F213" s="1" t="s">
        <v>44</v>
      </c>
      <c r="G213" s="1" t="s">
        <v>31</v>
      </c>
      <c r="H213" s="1" t="s">
        <v>27</v>
      </c>
      <c r="I213" s="1" t="s">
        <v>20</v>
      </c>
      <c r="J213" s="1">
        <v>37</v>
      </c>
      <c r="K213" s="1" t="s">
        <v>39</v>
      </c>
      <c r="L213" s="2">
        <v>46313</v>
      </c>
      <c r="M213" s="1">
        <v>18</v>
      </c>
      <c r="N213" s="1" t="s">
        <v>64</v>
      </c>
      <c r="O213" s="3" t="s">
        <v>28</v>
      </c>
    </row>
    <row r="214" spans="1:15" x14ac:dyDescent="0.3">
      <c r="A214" s="20">
        <v>46296.063368055555</v>
      </c>
      <c r="B214" s="21" t="s">
        <v>37</v>
      </c>
      <c r="C214" s="15">
        <v>28.632999999999999</v>
      </c>
      <c r="D214" s="1">
        <v>77.2196</v>
      </c>
      <c r="E214" s="1" t="s">
        <v>16</v>
      </c>
      <c r="F214" s="1" t="s">
        <v>53</v>
      </c>
      <c r="G214" s="1" t="s">
        <v>18</v>
      </c>
      <c r="H214" s="1" t="s">
        <v>61</v>
      </c>
      <c r="I214" s="1" t="s">
        <v>33</v>
      </c>
      <c r="J214" s="1">
        <v>65</v>
      </c>
      <c r="K214" s="1" t="s">
        <v>34</v>
      </c>
      <c r="L214" s="2">
        <v>46313</v>
      </c>
      <c r="M214" s="1">
        <v>18</v>
      </c>
      <c r="N214" s="1" t="s">
        <v>64</v>
      </c>
      <c r="O214" s="3" t="s">
        <v>28</v>
      </c>
    </row>
    <row r="215" spans="1:15" x14ac:dyDescent="0.3">
      <c r="A215" s="22">
        <v>46296.063252314816</v>
      </c>
      <c r="B215" s="23" t="s">
        <v>54</v>
      </c>
      <c r="C215" s="15">
        <v>28.567599999999999</v>
      </c>
      <c r="D215" s="1">
        <v>77.209599999999995</v>
      </c>
      <c r="E215" s="1" t="s">
        <v>25</v>
      </c>
      <c r="F215" s="1" t="s">
        <v>30</v>
      </c>
      <c r="G215" s="1" t="s">
        <v>31</v>
      </c>
      <c r="H215" s="1" t="s">
        <v>27</v>
      </c>
      <c r="I215" s="1" t="s">
        <v>49</v>
      </c>
      <c r="J215" s="1">
        <v>44</v>
      </c>
      <c r="K215" s="1" t="s">
        <v>39</v>
      </c>
      <c r="L215" s="2">
        <v>46313</v>
      </c>
      <c r="M215" s="1">
        <v>16</v>
      </c>
      <c r="N215" s="1" t="s">
        <v>64</v>
      </c>
      <c r="O215" s="3" t="s">
        <v>51</v>
      </c>
    </row>
    <row r="216" spans="1:15" x14ac:dyDescent="0.3">
      <c r="A216" s="20">
        <v>46296.063136574077</v>
      </c>
      <c r="B216" s="21" t="s">
        <v>46</v>
      </c>
      <c r="C216" s="15">
        <v>28.5562</v>
      </c>
      <c r="D216" s="1">
        <v>77.099999999999994</v>
      </c>
      <c r="E216" s="1" t="s">
        <v>38</v>
      </c>
      <c r="F216" s="1" t="s">
        <v>26</v>
      </c>
      <c r="G216" s="1" t="s">
        <v>50</v>
      </c>
      <c r="H216" s="1" t="s">
        <v>61</v>
      </c>
      <c r="I216" s="1" t="s">
        <v>20</v>
      </c>
      <c r="J216" s="1">
        <v>33</v>
      </c>
      <c r="K216" s="1" t="s">
        <v>39</v>
      </c>
      <c r="L216" s="2">
        <v>46313</v>
      </c>
      <c r="M216" s="1">
        <v>15</v>
      </c>
      <c r="N216" s="1" t="s">
        <v>64</v>
      </c>
      <c r="O216" s="3" t="s">
        <v>51</v>
      </c>
    </row>
    <row r="217" spans="1:15" x14ac:dyDescent="0.3">
      <c r="A217" s="22">
        <v>46296.063020833331</v>
      </c>
      <c r="B217" s="23" t="s">
        <v>54</v>
      </c>
      <c r="C217" s="15">
        <v>28.567599999999999</v>
      </c>
      <c r="D217" s="1">
        <v>77.209599999999995</v>
      </c>
      <c r="E217" s="1" t="s">
        <v>25</v>
      </c>
      <c r="F217" s="1" t="s">
        <v>52</v>
      </c>
      <c r="G217" s="1" t="s">
        <v>18</v>
      </c>
      <c r="H217" s="1" t="s">
        <v>27</v>
      </c>
      <c r="I217" s="1" t="s">
        <v>56</v>
      </c>
      <c r="J217" s="1">
        <v>66</v>
      </c>
      <c r="K217" s="1" t="s">
        <v>21</v>
      </c>
      <c r="L217" s="2">
        <v>46313</v>
      </c>
      <c r="M217" s="1">
        <v>14</v>
      </c>
      <c r="N217" s="1" t="s">
        <v>64</v>
      </c>
      <c r="O217" s="3" t="s">
        <v>51</v>
      </c>
    </row>
    <row r="218" spans="1:15" x14ac:dyDescent="0.3">
      <c r="A218" s="20">
        <v>46296.062905092593</v>
      </c>
      <c r="B218" s="21" t="s">
        <v>15</v>
      </c>
      <c r="C218" s="15">
        <v>28.5562</v>
      </c>
      <c r="D218" s="1">
        <v>77.099999999999994</v>
      </c>
      <c r="E218" s="1" t="s">
        <v>38</v>
      </c>
      <c r="F218" s="1" t="s">
        <v>52</v>
      </c>
      <c r="G218" s="1" t="s">
        <v>18</v>
      </c>
      <c r="H218" s="1" t="s">
        <v>19</v>
      </c>
      <c r="I218" s="1" t="s">
        <v>20</v>
      </c>
      <c r="J218" s="1">
        <v>26</v>
      </c>
      <c r="K218" s="1" t="s">
        <v>39</v>
      </c>
      <c r="L218" s="2">
        <v>46313</v>
      </c>
      <c r="M218" s="1">
        <v>13</v>
      </c>
      <c r="N218" s="1" t="s">
        <v>64</v>
      </c>
      <c r="O218" s="3" t="s">
        <v>51</v>
      </c>
    </row>
    <row r="219" spans="1:15" x14ac:dyDescent="0.3">
      <c r="A219" s="22">
        <v>46296.062789351854</v>
      </c>
      <c r="B219" s="23" t="s">
        <v>15</v>
      </c>
      <c r="C219" s="15">
        <v>28.6129</v>
      </c>
      <c r="D219" s="1">
        <v>77.229500000000002</v>
      </c>
      <c r="E219" s="1" t="s">
        <v>43</v>
      </c>
      <c r="F219" s="1" t="s">
        <v>44</v>
      </c>
      <c r="G219" s="1" t="s">
        <v>18</v>
      </c>
      <c r="H219" s="1" t="s">
        <v>27</v>
      </c>
      <c r="I219" s="1" t="s">
        <v>20</v>
      </c>
      <c r="J219" s="1">
        <v>51</v>
      </c>
      <c r="K219" s="1" t="s">
        <v>39</v>
      </c>
      <c r="L219" s="2">
        <v>46313</v>
      </c>
      <c r="M219" s="1">
        <v>12</v>
      </c>
      <c r="N219" s="1" t="s">
        <v>64</v>
      </c>
      <c r="O219" s="3" t="s">
        <v>51</v>
      </c>
    </row>
    <row r="220" spans="1:15" x14ac:dyDescent="0.3">
      <c r="A220" s="20">
        <v>46296.062673611108</v>
      </c>
      <c r="B220" s="21" t="s">
        <v>46</v>
      </c>
      <c r="C220" s="15">
        <v>28.545300000000001</v>
      </c>
      <c r="D220" s="1">
        <v>77.192499999999995</v>
      </c>
      <c r="E220" s="1" t="s">
        <v>41</v>
      </c>
      <c r="F220" s="1" t="s">
        <v>48</v>
      </c>
      <c r="G220" s="1" t="s">
        <v>18</v>
      </c>
      <c r="H220" s="1" t="s">
        <v>27</v>
      </c>
      <c r="I220" s="1" t="s">
        <v>20</v>
      </c>
      <c r="J220" s="1">
        <v>23</v>
      </c>
      <c r="K220" s="1" t="s">
        <v>39</v>
      </c>
      <c r="L220" s="2">
        <v>46313</v>
      </c>
      <c r="M220" s="1">
        <v>11</v>
      </c>
      <c r="N220" s="1" t="s">
        <v>64</v>
      </c>
      <c r="O220" s="3" t="s">
        <v>57</v>
      </c>
    </row>
    <row r="221" spans="1:15" x14ac:dyDescent="0.3">
      <c r="A221" s="22">
        <v>46296.062557870369</v>
      </c>
      <c r="B221" s="23" t="s">
        <v>24</v>
      </c>
      <c r="C221" s="15">
        <v>28.545300000000001</v>
      </c>
      <c r="D221" s="1">
        <v>77.192499999999995</v>
      </c>
      <c r="E221" s="1" t="s">
        <v>41</v>
      </c>
      <c r="F221" s="1" t="s">
        <v>26</v>
      </c>
      <c r="G221" s="1" t="s">
        <v>50</v>
      </c>
      <c r="H221" s="1" t="s">
        <v>27</v>
      </c>
      <c r="I221" s="1" t="s">
        <v>20</v>
      </c>
      <c r="J221" s="1">
        <v>53</v>
      </c>
      <c r="K221" s="1" t="s">
        <v>39</v>
      </c>
      <c r="L221" s="2">
        <v>46313</v>
      </c>
      <c r="M221" s="1">
        <v>10</v>
      </c>
      <c r="N221" s="1" t="s">
        <v>64</v>
      </c>
      <c r="O221" s="3" t="s">
        <v>57</v>
      </c>
    </row>
    <row r="222" spans="1:15" x14ac:dyDescent="0.3">
      <c r="A222" s="20">
        <v>46296.062442129631</v>
      </c>
      <c r="B222" s="21" t="s">
        <v>54</v>
      </c>
      <c r="C222" s="15">
        <v>28.567599999999999</v>
      </c>
      <c r="D222" s="1">
        <v>77.209599999999995</v>
      </c>
      <c r="E222" s="1" t="s">
        <v>25</v>
      </c>
      <c r="F222" s="1" t="s">
        <v>26</v>
      </c>
      <c r="G222" s="1" t="s">
        <v>45</v>
      </c>
      <c r="H222" s="1" t="s">
        <v>32</v>
      </c>
      <c r="I222" s="1" t="s">
        <v>20</v>
      </c>
      <c r="J222" s="1">
        <v>22</v>
      </c>
      <c r="K222" s="1" t="s">
        <v>34</v>
      </c>
      <c r="L222" s="2">
        <v>46313</v>
      </c>
      <c r="M222" s="1">
        <v>7</v>
      </c>
      <c r="N222" s="1" t="s">
        <v>64</v>
      </c>
      <c r="O222" s="3" t="s">
        <v>57</v>
      </c>
    </row>
    <row r="223" spans="1:15" x14ac:dyDescent="0.3">
      <c r="A223" s="22">
        <v>46296.062326388892</v>
      </c>
      <c r="B223" s="23" t="s">
        <v>40</v>
      </c>
      <c r="C223" s="15">
        <v>28.6129</v>
      </c>
      <c r="D223" s="1">
        <v>77.229500000000002</v>
      </c>
      <c r="E223" s="1" t="s">
        <v>43</v>
      </c>
      <c r="F223" s="1" t="s">
        <v>30</v>
      </c>
      <c r="G223" s="1" t="s">
        <v>31</v>
      </c>
      <c r="H223" s="1" t="s">
        <v>19</v>
      </c>
      <c r="I223" s="1" t="s">
        <v>33</v>
      </c>
      <c r="J223" s="1">
        <v>31</v>
      </c>
      <c r="K223" s="1" t="s">
        <v>39</v>
      </c>
      <c r="L223" s="2">
        <v>46313</v>
      </c>
      <c r="M223" s="1">
        <v>7</v>
      </c>
      <c r="N223" s="1" t="s">
        <v>64</v>
      </c>
      <c r="O223" s="3" t="s">
        <v>57</v>
      </c>
    </row>
    <row r="224" spans="1:15" x14ac:dyDescent="0.3">
      <c r="A224" s="20">
        <v>46296.062210648146</v>
      </c>
      <c r="B224" s="21" t="s">
        <v>29</v>
      </c>
      <c r="C224" s="15">
        <v>28.567599999999999</v>
      </c>
      <c r="D224" s="1">
        <v>77.209599999999995</v>
      </c>
      <c r="E224" s="1" t="s">
        <v>25</v>
      </c>
      <c r="F224" s="1" t="s">
        <v>48</v>
      </c>
      <c r="G224" s="1" t="s">
        <v>45</v>
      </c>
      <c r="H224" s="1" t="s">
        <v>19</v>
      </c>
      <c r="I224" s="1" t="s">
        <v>20</v>
      </c>
      <c r="J224" s="1">
        <v>18</v>
      </c>
      <c r="K224" s="1" t="s">
        <v>39</v>
      </c>
      <c r="L224" s="2">
        <v>46313</v>
      </c>
      <c r="M224" s="1">
        <v>5</v>
      </c>
      <c r="N224" s="1" t="s">
        <v>64</v>
      </c>
      <c r="O224" s="3" t="s">
        <v>23</v>
      </c>
    </row>
    <row r="225" spans="1:15" x14ac:dyDescent="0.3">
      <c r="A225" s="22">
        <v>46296.062094907407</v>
      </c>
      <c r="B225" s="23" t="s">
        <v>46</v>
      </c>
      <c r="C225" s="15">
        <v>28.6328</v>
      </c>
      <c r="D225" s="1">
        <v>77.219499999999996</v>
      </c>
      <c r="E225" s="1" t="s">
        <v>16</v>
      </c>
      <c r="F225" s="1" t="s">
        <v>30</v>
      </c>
      <c r="G225" s="1" t="s">
        <v>18</v>
      </c>
      <c r="H225" s="1" t="s">
        <v>32</v>
      </c>
      <c r="I225" s="1" t="s">
        <v>33</v>
      </c>
      <c r="J225" s="1">
        <v>67</v>
      </c>
      <c r="K225" s="1" t="s">
        <v>39</v>
      </c>
      <c r="L225" s="2">
        <v>46313</v>
      </c>
      <c r="M225" s="1">
        <v>2</v>
      </c>
      <c r="N225" s="1" t="s">
        <v>64</v>
      </c>
      <c r="O225" s="3" t="s">
        <v>23</v>
      </c>
    </row>
    <row r="226" spans="1:15" x14ac:dyDescent="0.3">
      <c r="A226" s="20">
        <v>46296.061979166669</v>
      </c>
      <c r="B226" s="21" t="s">
        <v>46</v>
      </c>
      <c r="C226" s="15">
        <v>28.632999999999999</v>
      </c>
      <c r="D226" s="1">
        <v>77.2196</v>
      </c>
      <c r="E226" s="1" t="s">
        <v>16</v>
      </c>
      <c r="F226" s="1" t="s">
        <v>44</v>
      </c>
      <c r="G226" s="1" t="s">
        <v>50</v>
      </c>
      <c r="H226" s="1" t="s">
        <v>27</v>
      </c>
      <c r="I226" s="1" t="s">
        <v>49</v>
      </c>
      <c r="J226" s="1">
        <v>21</v>
      </c>
      <c r="K226" s="1" t="s">
        <v>39</v>
      </c>
      <c r="L226" s="2">
        <v>46313</v>
      </c>
      <c r="M226" s="1">
        <v>1</v>
      </c>
      <c r="N226" s="1" t="s">
        <v>64</v>
      </c>
      <c r="O226" s="3" t="s">
        <v>23</v>
      </c>
    </row>
    <row r="227" spans="1:15" x14ac:dyDescent="0.3">
      <c r="A227" s="22">
        <v>46296.061863425923</v>
      </c>
      <c r="B227" s="23" t="s">
        <v>29</v>
      </c>
      <c r="C227" s="15">
        <v>28.545300000000001</v>
      </c>
      <c r="D227" s="1">
        <v>77.192499999999995</v>
      </c>
      <c r="E227" s="1" t="s">
        <v>41</v>
      </c>
      <c r="F227" s="1" t="s">
        <v>17</v>
      </c>
      <c r="G227" s="1" t="s">
        <v>18</v>
      </c>
      <c r="H227" s="1" t="s">
        <v>32</v>
      </c>
      <c r="I227" s="1" t="s">
        <v>20</v>
      </c>
      <c r="J227" s="1">
        <v>56</v>
      </c>
      <c r="K227" s="1" t="s">
        <v>34</v>
      </c>
      <c r="L227" s="2">
        <v>46312</v>
      </c>
      <c r="M227" s="1">
        <v>23</v>
      </c>
      <c r="N227" s="1" t="s">
        <v>65</v>
      </c>
      <c r="O227" s="3" t="s">
        <v>23</v>
      </c>
    </row>
    <row r="228" spans="1:15" x14ac:dyDescent="0.3">
      <c r="A228" s="20">
        <v>46296.061747685184</v>
      </c>
      <c r="B228" s="21" t="s">
        <v>46</v>
      </c>
      <c r="C228" s="15">
        <v>28.6129</v>
      </c>
      <c r="D228" s="1">
        <v>77.229500000000002</v>
      </c>
      <c r="E228" s="1" t="s">
        <v>43</v>
      </c>
      <c r="F228" s="1" t="s">
        <v>30</v>
      </c>
      <c r="G228" s="1" t="s">
        <v>18</v>
      </c>
      <c r="H228" s="1" t="s">
        <v>32</v>
      </c>
      <c r="I228" s="1" t="s">
        <v>36</v>
      </c>
      <c r="J228" s="1">
        <v>35</v>
      </c>
      <c r="K228" s="1" t="s">
        <v>21</v>
      </c>
      <c r="L228" s="2">
        <v>46312</v>
      </c>
      <c r="M228" s="1">
        <v>23</v>
      </c>
      <c r="N228" s="1" t="s">
        <v>65</v>
      </c>
      <c r="O228" s="3" t="s">
        <v>23</v>
      </c>
    </row>
    <row r="229" spans="1:15" x14ac:dyDescent="0.3">
      <c r="A229" s="22">
        <v>46296.061631944445</v>
      </c>
      <c r="B229" s="23" t="s">
        <v>40</v>
      </c>
      <c r="C229" s="15">
        <v>28.656199999999998</v>
      </c>
      <c r="D229" s="1">
        <v>77.231499999999997</v>
      </c>
      <c r="E229" s="1" t="s">
        <v>55</v>
      </c>
      <c r="F229" s="1" t="s">
        <v>53</v>
      </c>
      <c r="G229" s="1" t="s">
        <v>50</v>
      </c>
      <c r="H229" s="1" t="s">
        <v>19</v>
      </c>
      <c r="I229" s="1" t="s">
        <v>36</v>
      </c>
      <c r="J229" s="1">
        <v>61</v>
      </c>
      <c r="K229" s="1" t="s">
        <v>39</v>
      </c>
      <c r="L229" s="2">
        <v>46312</v>
      </c>
      <c r="M229" s="1">
        <v>21</v>
      </c>
      <c r="N229" s="1" t="s">
        <v>65</v>
      </c>
      <c r="O229" s="3" t="s">
        <v>23</v>
      </c>
    </row>
    <row r="230" spans="1:15" x14ac:dyDescent="0.3">
      <c r="A230" s="20">
        <v>46296.061516203707</v>
      </c>
      <c r="B230" s="21" t="s">
        <v>29</v>
      </c>
      <c r="C230" s="15">
        <v>28.6328</v>
      </c>
      <c r="D230" s="1">
        <v>77.219499999999996</v>
      </c>
      <c r="E230" s="1" t="s">
        <v>16</v>
      </c>
      <c r="F230" s="1" t="s">
        <v>26</v>
      </c>
      <c r="G230" s="1" t="s">
        <v>18</v>
      </c>
      <c r="H230" s="1" t="s">
        <v>27</v>
      </c>
      <c r="I230" s="1" t="s">
        <v>20</v>
      </c>
      <c r="J230" s="1">
        <v>57</v>
      </c>
      <c r="K230" s="1" t="s">
        <v>39</v>
      </c>
      <c r="L230" s="2">
        <v>46312</v>
      </c>
      <c r="M230" s="1">
        <v>19</v>
      </c>
      <c r="N230" s="1" t="s">
        <v>65</v>
      </c>
      <c r="O230" s="3" t="s">
        <v>28</v>
      </c>
    </row>
    <row r="231" spans="1:15" x14ac:dyDescent="0.3">
      <c r="A231" s="22">
        <v>46296.061400462961</v>
      </c>
      <c r="B231" s="23" t="s">
        <v>46</v>
      </c>
      <c r="C231" s="15">
        <v>28.632999999999999</v>
      </c>
      <c r="D231" s="1">
        <v>77.2196</v>
      </c>
      <c r="E231" s="1" t="s">
        <v>16</v>
      </c>
      <c r="F231" s="1" t="s">
        <v>53</v>
      </c>
      <c r="G231" s="1" t="s">
        <v>18</v>
      </c>
      <c r="H231" s="1" t="s">
        <v>19</v>
      </c>
      <c r="I231" s="1" t="s">
        <v>33</v>
      </c>
      <c r="J231" s="1">
        <v>75</v>
      </c>
      <c r="K231" s="1" t="s">
        <v>34</v>
      </c>
      <c r="L231" s="2">
        <v>46312</v>
      </c>
      <c r="M231" s="1">
        <v>19</v>
      </c>
      <c r="N231" s="1" t="s">
        <v>65</v>
      </c>
      <c r="O231" s="3" t="s">
        <v>28</v>
      </c>
    </row>
    <row r="232" spans="1:15" x14ac:dyDescent="0.3">
      <c r="A232" s="20">
        <v>46296.061284722222</v>
      </c>
      <c r="B232" s="21" t="s">
        <v>42</v>
      </c>
      <c r="C232" s="15">
        <v>28.656199999999998</v>
      </c>
      <c r="D232" s="1">
        <v>77.231499999999997</v>
      </c>
      <c r="E232" s="1" t="s">
        <v>55</v>
      </c>
      <c r="F232" s="1" t="s">
        <v>35</v>
      </c>
      <c r="G232" s="1" t="s">
        <v>31</v>
      </c>
      <c r="H232" s="1" t="s">
        <v>27</v>
      </c>
      <c r="I232" s="1" t="s">
        <v>49</v>
      </c>
      <c r="J232" s="1">
        <v>66</v>
      </c>
      <c r="K232" s="1" t="s">
        <v>34</v>
      </c>
      <c r="L232" s="2">
        <v>46312</v>
      </c>
      <c r="M232" s="1">
        <v>18</v>
      </c>
      <c r="N232" s="1" t="s">
        <v>65</v>
      </c>
      <c r="O232" s="3" t="s">
        <v>28</v>
      </c>
    </row>
    <row r="233" spans="1:15" x14ac:dyDescent="0.3">
      <c r="A233" s="22">
        <v>46296.061168981483</v>
      </c>
      <c r="B233" s="23" t="s">
        <v>24</v>
      </c>
      <c r="C233" s="15">
        <v>28.571400000000001</v>
      </c>
      <c r="D233" s="1">
        <v>77.281300000000002</v>
      </c>
      <c r="E233" s="1" t="s">
        <v>47</v>
      </c>
      <c r="F233" s="1" t="s">
        <v>17</v>
      </c>
      <c r="G233" s="1" t="s">
        <v>31</v>
      </c>
      <c r="H233" s="1" t="s">
        <v>32</v>
      </c>
      <c r="I233" s="1" t="s">
        <v>20</v>
      </c>
      <c r="J233" s="1">
        <v>47</v>
      </c>
      <c r="K233" s="1" t="s">
        <v>39</v>
      </c>
      <c r="L233" s="2">
        <v>46312</v>
      </c>
      <c r="M233" s="1">
        <v>17</v>
      </c>
      <c r="N233" s="1" t="s">
        <v>65</v>
      </c>
      <c r="O233" s="3" t="s">
        <v>28</v>
      </c>
    </row>
    <row r="234" spans="1:15" x14ac:dyDescent="0.3">
      <c r="A234" s="20">
        <v>46296.061053240737</v>
      </c>
      <c r="B234" s="21" t="s">
        <v>40</v>
      </c>
      <c r="C234" s="15">
        <v>28.6328</v>
      </c>
      <c r="D234" s="1">
        <v>77.219499999999996</v>
      </c>
      <c r="E234" s="1" t="s">
        <v>16</v>
      </c>
      <c r="F234" s="1" t="s">
        <v>26</v>
      </c>
      <c r="G234" s="1" t="s">
        <v>18</v>
      </c>
      <c r="H234" s="1" t="s">
        <v>32</v>
      </c>
      <c r="I234" s="1" t="s">
        <v>20</v>
      </c>
      <c r="J234" s="1">
        <v>38</v>
      </c>
      <c r="K234" s="1" t="s">
        <v>39</v>
      </c>
      <c r="L234" s="2">
        <v>46312</v>
      </c>
      <c r="M234" s="1">
        <v>13</v>
      </c>
      <c r="N234" s="1" t="s">
        <v>65</v>
      </c>
      <c r="O234" s="3" t="s">
        <v>51</v>
      </c>
    </row>
    <row r="235" spans="1:15" x14ac:dyDescent="0.3">
      <c r="A235" s="22">
        <v>46296.060937499999</v>
      </c>
      <c r="B235" s="23" t="s">
        <v>46</v>
      </c>
      <c r="C235" s="15">
        <v>28.5562</v>
      </c>
      <c r="D235" s="1">
        <v>77.099999999999994</v>
      </c>
      <c r="E235" s="1" t="s">
        <v>38</v>
      </c>
      <c r="F235" s="1" t="s">
        <v>52</v>
      </c>
      <c r="G235" s="1" t="s">
        <v>18</v>
      </c>
      <c r="H235" s="1" t="s">
        <v>61</v>
      </c>
      <c r="I235" s="1" t="s">
        <v>56</v>
      </c>
      <c r="J235" s="1">
        <v>72</v>
      </c>
      <c r="K235" s="1" t="s">
        <v>39</v>
      </c>
      <c r="L235" s="2">
        <v>46312</v>
      </c>
      <c r="M235" s="1">
        <v>12</v>
      </c>
      <c r="N235" s="1" t="s">
        <v>65</v>
      </c>
      <c r="O235" s="3" t="s">
        <v>51</v>
      </c>
    </row>
    <row r="236" spans="1:15" x14ac:dyDescent="0.3">
      <c r="A236" s="20">
        <v>46296.06082175926</v>
      </c>
      <c r="B236" s="21" t="s">
        <v>46</v>
      </c>
      <c r="C236" s="15">
        <v>28.571400000000001</v>
      </c>
      <c r="D236" s="1">
        <v>77.281300000000002</v>
      </c>
      <c r="E236" s="1" t="s">
        <v>47</v>
      </c>
      <c r="F236" s="1" t="s">
        <v>48</v>
      </c>
      <c r="G236" s="1" t="s">
        <v>18</v>
      </c>
      <c r="H236" s="1" t="s">
        <v>19</v>
      </c>
      <c r="I236" s="1" t="s">
        <v>20</v>
      </c>
      <c r="J236" s="1">
        <v>72</v>
      </c>
      <c r="K236" s="1" t="s">
        <v>34</v>
      </c>
      <c r="L236" s="2">
        <v>46312</v>
      </c>
      <c r="M236" s="1">
        <v>9</v>
      </c>
      <c r="N236" s="1" t="s">
        <v>65</v>
      </c>
      <c r="O236" s="3" t="s">
        <v>57</v>
      </c>
    </row>
    <row r="237" spans="1:15" x14ac:dyDescent="0.3">
      <c r="A237" s="22">
        <v>46296.060706018521</v>
      </c>
      <c r="B237" s="23" t="s">
        <v>37</v>
      </c>
      <c r="C237" s="15">
        <v>28.6129</v>
      </c>
      <c r="D237" s="1">
        <v>77.229500000000002</v>
      </c>
      <c r="E237" s="1" t="s">
        <v>43</v>
      </c>
      <c r="F237" s="1" t="s">
        <v>30</v>
      </c>
      <c r="G237" s="1" t="s">
        <v>18</v>
      </c>
      <c r="H237" s="1" t="s">
        <v>19</v>
      </c>
      <c r="I237" s="1" t="s">
        <v>36</v>
      </c>
      <c r="J237" s="1">
        <v>52</v>
      </c>
      <c r="K237" s="1" t="s">
        <v>34</v>
      </c>
      <c r="L237" s="2">
        <v>46312</v>
      </c>
      <c r="M237" s="1">
        <v>8</v>
      </c>
      <c r="N237" s="1" t="s">
        <v>65</v>
      </c>
      <c r="O237" s="3" t="s">
        <v>57</v>
      </c>
    </row>
    <row r="238" spans="1:15" x14ac:dyDescent="0.3">
      <c r="A238" s="20">
        <v>46296.060590277775</v>
      </c>
      <c r="B238" s="21" t="s">
        <v>54</v>
      </c>
      <c r="C238" s="15">
        <v>28.545300000000001</v>
      </c>
      <c r="D238" s="1">
        <v>77.192499999999995</v>
      </c>
      <c r="E238" s="1" t="s">
        <v>41</v>
      </c>
      <c r="F238" s="1" t="s">
        <v>44</v>
      </c>
      <c r="G238" s="1" t="s">
        <v>50</v>
      </c>
      <c r="H238" s="1" t="s">
        <v>32</v>
      </c>
      <c r="I238" s="1" t="s">
        <v>49</v>
      </c>
      <c r="J238" s="1">
        <v>54</v>
      </c>
      <c r="K238" s="1" t="s">
        <v>34</v>
      </c>
      <c r="L238" s="2">
        <v>46312</v>
      </c>
      <c r="M238" s="1">
        <v>7</v>
      </c>
      <c r="N238" s="1" t="s">
        <v>65</v>
      </c>
      <c r="O238" s="3" t="s">
        <v>57</v>
      </c>
    </row>
    <row r="239" spans="1:15" x14ac:dyDescent="0.3">
      <c r="A239" s="22">
        <v>46296.060474537036</v>
      </c>
      <c r="B239" s="23" t="s">
        <v>29</v>
      </c>
      <c r="C239" s="15">
        <v>28.6328</v>
      </c>
      <c r="D239" s="1">
        <v>77.219499999999996</v>
      </c>
      <c r="E239" s="1" t="s">
        <v>16</v>
      </c>
      <c r="F239" s="1" t="s">
        <v>30</v>
      </c>
      <c r="G239" s="1" t="s">
        <v>18</v>
      </c>
      <c r="H239" s="1" t="s">
        <v>27</v>
      </c>
      <c r="I239" s="1" t="s">
        <v>56</v>
      </c>
      <c r="J239" s="1">
        <v>62</v>
      </c>
      <c r="K239" s="1" t="s">
        <v>21</v>
      </c>
      <c r="L239" s="2">
        <v>46312</v>
      </c>
      <c r="M239" s="1">
        <v>6</v>
      </c>
      <c r="N239" s="1" t="s">
        <v>65</v>
      </c>
      <c r="O239" s="3" t="s">
        <v>57</v>
      </c>
    </row>
    <row r="240" spans="1:15" x14ac:dyDescent="0.3">
      <c r="A240" s="20">
        <v>46296.060358796298</v>
      </c>
      <c r="B240" s="21" t="s">
        <v>40</v>
      </c>
      <c r="C240" s="15">
        <v>28.632999999999999</v>
      </c>
      <c r="D240" s="1">
        <v>77.2196</v>
      </c>
      <c r="E240" s="1" t="s">
        <v>16</v>
      </c>
      <c r="F240" s="1" t="s">
        <v>35</v>
      </c>
      <c r="G240" s="1" t="s">
        <v>18</v>
      </c>
      <c r="H240" s="1" t="s">
        <v>61</v>
      </c>
      <c r="I240" s="1" t="s">
        <v>20</v>
      </c>
      <c r="J240" s="1">
        <v>22</v>
      </c>
      <c r="K240" s="1" t="s">
        <v>39</v>
      </c>
      <c r="L240" s="2">
        <v>46312</v>
      </c>
      <c r="M240" s="1">
        <v>1</v>
      </c>
      <c r="N240" s="1" t="s">
        <v>65</v>
      </c>
      <c r="O240" s="3" t="s">
        <v>23</v>
      </c>
    </row>
    <row r="241" spans="1:15" x14ac:dyDescent="0.3">
      <c r="A241" s="22">
        <v>46296.060243055559</v>
      </c>
      <c r="B241" s="23" t="s">
        <v>24</v>
      </c>
      <c r="C241" s="15">
        <v>28.545300000000001</v>
      </c>
      <c r="D241" s="1">
        <v>77.192499999999995</v>
      </c>
      <c r="E241" s="1" t="s">
        <v>41</v>
      </c>
      <c r="F241" s="1" t="s">
        <v>30</v>
      </c>
      <c r="G241" s="1" t="s">
        <v>18</v>
      </c>
      <c r="H241" s="1" t="s">
        <v>27</v>
      </c>
      <c r="I241" s="1" t="s">
        <v>33</v>
      </c>
      <c r="J241" s="1">
        <v>57</v>
      </c>
      <c r="K241" s="1" t="s">
        <v>39</v>
      </c>
      <c r="L241" s="2">
        <v>46312</v>
      </c>
      <c r="M241" s="1">
        <v>0</v>
      </c>
      <c r="N241" s="1" t="s">
        <v>65</v>
      </c>
      <c r="O241" s="3" t="s">
        <v>23</v>
      </c>
    </row>
    <row r="242" spans="1:15" x14ac:dyDescent="0.3">
      <c r="A242" s="20">
        <v>46296.060127314813</v>
      </c>
      <c r="B242" s="21" t="s">
        <v>29</v>
      </c>
      <c r="C242" s="15">
        <v>28.632999999999999</v>
      </c>
      <c r="D242" s="1">
        <v>77.2196</v>
      </c>
      <c r="E242" s="1" t="s">
        <v>16</v>
      </c>
      <c r="F242" s="1" t="s">
        <v>26</v>
      </c>
      <c r="G242" s="1" t="s">
        <v>18</v>
      </c>
      <c r="H242" s="1" t="s">
        <v>19</v>
      </c>
      <c r="I242" s="1" t="s">
        <v>20</v>
      </c>
      <c r="J242" s="1">
        <v>41</v>
      </c>
      <c r="K242" s="1" t="s">
        <v>21</v>
      </c>
      <c r="L242" s="2">
        <v>46312</v>
      </c>
      <c r="M242" s="1">
        <v>0</v>
      </c>
      <c r="N242" s="1" t="s">
        <v>65</v>
      </c>
      <c r="O242" s="3" t="s">
        <v>23</v>
      </c>
    </row>
    <row r="243" spans="1:15" x14ac:dyDescent="0.3">
      <c r="A243" s="22">
        <v>46296.060011574074</v>
      </c>
      <c r="B243" s="23" t="s">
        <v>15</v>
      </c>
      <c r="C243" s="15">
        <v>28.545300000000001</v>
      </c>
      <c r="D243" s="1">
        <v>77.192499999999995</v>
      </c>
      <c r="E243" s="1" t="s">
        <v>41</v>
      </c>
      <c r="F243" s="1" t="s">
        <v>30</v>
      </c>
      <c r="G243" s="1" t="s">
        <v>18</v>
      </c>
      <c r="H243" s="1" t="s">
        <v>32</v>
      </c>
      <c r="I243" s="1" t="s">
        <v>56</v>
      </c>
      <c r="J243" s="1">
        <v>38</v>
      </c>
      <c r="K243" s="1" t="s">
        <v>34</v>
      </c>
      <c r="L243" s="2">
        <v>46312</v>
      </c>
      <c r="M243" s="1">
        <v>0</v>
      </c>
      <c r="N243" s="1" t="s">
        <v>65</v>
      </c>
      <c r="O243" s="3" t="s">
        <v>23</v>
      </c>
    </row>
    <row r="244" spans="1:15" x14ac:dyDescent="0.3">
      <c r="A244" s="20">
        <v>46296.059895833336</v>
      </c>
      <c r="B244" s="21" t="s">
        <v>42</v>
      </c>
      <c r="C244" s="15">
        <v>28.5562</v>
      </c>
      <c r="D244" s="1">
        <v>77.099999999999994</v>
      </c>
      <c r="E244" s="1" t="s">
        <v>38</v>
      </c>
      <c r="F244" s="1" t="s">
        <v>17</v>
      </c>
      <c r="G244" s="1" t="s">
        <v>45</v>
      </c>
      <c r="H244" s="1" t="s">
        <v>32</v>
      </c>
      <c r="I244" s="1" t="s">
        <v>20</v>
      </c>
      <c r="J244" s="1">
        <v>23</v>
      </c>
      <c r="K244" s="1" t="s">
        <v>34</v>
      </c>
      <c r="L244" s="2">
        <v>46311</v>
      </c>
      <c r="M244" s="1">
        <v>23</v>
      </c>
      <c r="N244" s="1" t="s">
        <v>22</v>
      </c>
      <c r="O244" s="3" t="s">
        <v>23</v>
      </c>
    </row>
    <row r="245" spans="1:15" x14ac:dyDescent="0.3">
      <c r="A245" s="22">
        <v>46296.05978009259</v>
      </c>
      <c r="B245" s="23" t="s">
        <v>15</v>
      </c>
      <c r="C245" s="15">
        <v>28.6129</v>
      </c>
      <c r="D245" s="1">
        <v>77.229500000000002</v>
      </c>
      <c r="E245" s="1" t="s">
        <v>43</v>
      </c>
      <c r="F245" s="1" t="s">
        <v>48</v>
      </c>
      <c r="G245" s="1" t="s">
        <v>18</v>
      </c>
      <c r="H245" s="1" t="s">
        <v>19</v>
      </c>
      <c r="I245" s="1" t="s">
        <v>20</v>
      </c>
      <c r="J245" s="1">
        <v>46</v>
      </c>
      <c r="K245" s="1" t="s">
        <v>39</v>
      </c>
      <c r="L245" s="2">
        <v>46311</v>
      </c>
      <c r="M245" s="1">
        <v>22</v>
      </c>
      <c r="N245" s="1" t="s">
        <v>22</v>
      </c>
      <c r="O245" s="3" t="s">
        <v>23</v>
      </c>
    </row>
    <row r="246" spans="1:15" x14ac:dyDescent="0.3">
      <c r="A246" s="20">
        <v>46296.059664351851</v>
      </c>
      <c r="B246" s="21" t="s">
        <v>46</v>
      </c>
      <c r="C246" s="15">
        <v>28.6328</v>
      </c>
      <c r="D246" s="1">
        <v>77.219499999999996</v>
      </c>
      <c r="E246" s="1" t="s">
        <v>16</v>
      </c>
      <c r="F246" s="1" t="s">
        <v>48</v>
      </c>
      <c r="G246" s="1" t="s">
        <v>18</v>
      </c>
      <c r="H246" s="1" t="s">
        <v>27</v>
      </c>
      <c r="I246" s="1" t="s">
        <v>20</v>
      </c>
      <c r="J246" s="1">
        <v>33</v>
      </c>
      <c r="K246" s="1" t="s">
        <v>34</v>
      </c>
      <c r="L246" s="2">
        <v>46311</v>
      </c>
      <c r="M246" s="1">
        <v>21</v>
      </c>
      <c r="N246" s="1" t="s">
        <v>22</v>
      </c>
      <c r="O246" s="3" t="s">
        <v>23</v>
      </c>
    </row>
    <row r="247" spans="1:15" x14ac:dyDescent="0.3">
      <c r="A247" s="22">
        <v>46296.059548611112</v>
      </c>
      <c r="B247" s="23" t="s">
        <v>24</v>
      </c>
      <c r="C247" s="15">
        <v>28.567599999999999</v>
      </c>
      <c r="D247" s="1">
        <v>77.209599999999995</v>
      </c>
      <c r="E247" s="1" t="s">
        <v>25</v>
      </c>
      <c r="F247" s="1" t="s">
        <v>30</v>
      </c>
      <c r="G247" s="1" t="s">
        <v>50</v>
      </c>
      <c r="H247" s="1" t="s">
        <v>27</v>
      </c>
      <c r="I247" s="1" t="s">
        <v>33</v>
      </c>
      <c r="J247" s="1">
        <v>48</v>
      </c>
      <c r="K247" s="1" t="s">
        <v>34</v>
      </c>
      <c r="L247" s="2">
        <v>46311</v>
      </c>
      <c r="M247" s="1">
        <v>20</v>
      </c>
      <c r="N247" s="1" t="s">
        <v>22</v>
      </c>
      <c r="O247" s="3" t="s">
        <v>28</v>
      </c>
    </row>
    <row r="248" spans="1:15" x14ac:dyDescent="0.3">
      <c r="A248" s="20">
        <v>46296.059432870374</v>
      </c>
      <c r="B248" s="21" t="s">
        <v>46</v>
      </c>
      <c r="C248" s="15">
        <v>28.545300000000001</v>
      </c>
      <c r="D248" s="1">
        <v>77.192499999999995</v>
      </c>
      <c r="E248" s="1" t="s">
        <v>41</v>
      </c>
      <c r="F248" s="1" t="s">
        <v>26</v>
      </c>
      <c r="G248" s="1" t="s">
        <v>18</v>
      </c>
      <c r="H248" s="1" t="s">
        <v>27</v>
      </c>
      <c r="I248" s="1" t="s">
        <v>20</v>
      </c>
      <c r="J248" s="1">
        <v>38</v>
      </c>
      <c r="K248" s="1" t="s">
        <v>34</v>
      </c>
      <c r="L248" s="2">
        <v>46311</v>
      </c>
      <c r="M248" s="1">
        <v>17</v>
      </c>
      <c r="N248" s="1" t="s">
        <v>22</v>
      </c>
      <c r="O248" s="3" t="s">
        <v>28</v>
      </c>
    </row>
    <row r="249" spans="1:15" x14ac:dyDescent="0.3">
      <c r="A249" s="22">
        <v>46296.059317129628</v>
      </c>
      <c r="B249" s="23" t="s">
        <v>54</v>
      </c>
      <c r="C249" s="15">
        <v>28.656199999999998</v>
      </c>
      <c r="D249" s="1">
        <v>77.231499999999997</v>
      </c>
      <c r="E249" s="1" t="s">
        <v>55</v>
      </c>
      <c r="F249" s="1" t="s">
        <v>53</v>
      </c>
      <c r="G249" s="1" t="s">
        <v>18</v>
      </c>
      <c r="H249" s="1" t="s">
        <v>32</v>
      </c>
      <c r="I249" s="1" t="s">
        <v>33</v>
      </c>
      <c r="J249" s="1">
        <v>73</v>
      </c>
      <c r="K249" s="1" t="s">
        <v>34</v>
      </c>
      <c r="L249" s="2">
        <v>46311</v>
      </c>
      <c r="M249" s="1">
        <v>16</v>
      </c>
      <c r="N249" s="1" t="s">
        <v>22</v>
      </c>
      <c r="O249" s="3" t="s">
        <v>51</v>
      </c>
    </row>
    <row r="250" spans="1:15" x14ac:dyDescent="0.3">
      <c r="A250" s="20">
        <v>46296.059201388889</v>
      </c>
      <c r="B250" s="21" t="s">
        <v>24</v>
      </c>
      <c r="C250" s="15">
        <v>28.656199999999998</v>
      </c>
      <c r="D250" s="1">
        <v>77.231499999999997</v>
      </c>
      <c r="E250" s="1" t="s">
        <v>55</v>
      </c>
      <c r="F250" s="1" t="s">
        <v>44</v>
      </c>
      <c r="G250" s="1" t="s">
        <v>18</v>
      </c>
      <c r="H250" s="1" t="s">
        <v>32</v>
      </c>
      <c r="I250" s="1" t="s">
        <v>20</v>
      </c>
      <c r="J250" s="1">
        <v>38</v>
      </c>
      <c r="K250" s="1" t="s">
        <v>39</v>
      </c>
      <c r="L250" s="2">
        <v>46311</v>
      </c>
      <c r="M250" s="1">
        <v>15</v>
      </c>
      <c r="N250" s="1" t="s">
        <v>22</v>
      </c>
      <c r="O250" s="3" t="s">
        <v>51</v>
      </c>
    </row>
    <row r="251" spans="1:15" x14ac:dyDescent="0.3">
      <c r="A251" s="22">
        <v>46296.05908564815</v>
      </c>
      <c r="B251" s="23" t="s">
        <v>24</v>
      </c>
      <c r="C251" s="15">
        <v>28.656199999999998</v>
      </c>
      <c r="D251" s="1">
        <v>77.231499999999997</v>
      </c>
      <c r="E251" s="1" t="s">
        <v>55</v>
      </c>
      <c r="F251" s="1" t="s">
        <v>48</v>
      </c>
      <c r="G251" s="1" t="s">
        <v>45</v>
      </c>
      <c r="H251" s="1" t="s">
        <v>19</v>
      </c>
      <c r="I251" s="1" t="s">
        <v>20</v>
      </c>
      <c r="J251" s="1">
        <v>68</v>
      </c>
      <c r="K251" s="1" t="s">
        <v>21</v>
      </c>
      <c r="L251" s="2">
        <v>46311</v>
      </c>
      <c r="M251" s="1">
        <v>15</v>
      </c>
      <c r="N251" s="1" t="s">
        <v>22</v>
      </c>
      <c r="O251" s="3" t="s">
        <v>51</v>
      </c>
    </row>
    <row r="252" spans="1:15" x14ac:dyDescent="0.3">
      <c r="A252" s="20">
        <v>46296.058969907404</v>
      </c>
      <c r="B252" s="21" t="s">
        <v>54</v>
      </c>
      <c r="C252" s="15">
        <v>28.6328</v>
      </c>
      <c r="D252" s="1">
        <v>77.219499999999996</v>
      </c>
      <c r="E252" s="1" t="s">
        <v>16</v>
      </c>
      <c r="F252" s="1" t="s">
        <v>48</v>
      </c>
      <c r="G252" s="1" t="s">
        <v>18</v>
      </c>
      <c r="H252" s="1" t="s">
        <v>27</v>
      </c>
      <c r="I252" s="1" t="s">
        <v>20</v>
      </c>
      <c r="J252" s="1">
        <v>48</v>
      </c>
      <c r="K252" s="1" t="s">
        <v>39</v>
      </c>
      <c r="L252" s="2">
        <v>46311</v>
      </c>
      <c r="M252" s="1">
        <v>14</v>
      </c>
      <c r="N252" s="1" t="s">
        <v>22</v>
      </c>
      <c r="O252" s="3" t="s">
        <v>51</v>
      </c>
    </row>
    <row r="253" spans="1:15" x14ac:dyDescent="0.3">
      <c r="A253" s="22">
        <v>46296.058854166666</v>
      </c>
      <c r="B253" s="23" t="s">
        <v>42</v>
      </c>
      <c r="C253" s="15">
        <v>28.5562</v>
      </c>
      <c r="D253" s="1">
        <v>77.099999999999994</v>
      </c>
      <c r="E253" s="1" t="s">
        <v>38</v>
      </c>
      <c r="F253" s="1" t="s">
        <v>26</v>
      </c>
      <c r="G253" s="1" t="s">
        <v>50</v>
      </c>
      <c r="H253" s="1" t="s">
        <v>32</v>
      </c>
      <c r="I253" s="1" t="s">
        <v>20</v>
      </c>
      <c r="J253" s="1">
        <v>23</v>
      </c>
      <c r="K253" s="1" t="s">
        <v>21</v>
      </c>
      <c r="L253" s="2">
        <v>46311</v>
      </c>
      <c r="M253" s="1">
        <v>11</v>
      </c>
      <c r="N253" s="1" t="s">
        <v>22</v>
      </c>
      <c r="O253" s="3" t="s">
        <v>57</v>
      </c>
    </row>
    <row r="254" spans="1:15" x14ac:dyDescent="0.3">
      <c r="A254" s="20">
        <v>46296.058738425927</v>
      </c>
      <c r="B254" s="21" t="s">
        <v>24</v>
      </c>
      <c r="C254" s="15">
        <v>28.571400000000001</v>
      </c>
      <c r="D254" s="1">
        <v>77.281300000000002</v>
      </c>
      <c r="E254" s="1" t="s">
        <v>47</v>
      </c>
      <c r="F254" s="1" t="s">
        <v>30</v>
      </c>
      <c r="G254" s="1" t="s">
        <v>18</v>
      </c>
      <c r="H254" s="1" t="s">
        <v>32</v>
      </c>
      <c r="I254" s="1" t="s">
        <v>20</v>
      </c>
      <c r="J254" s="1">
        <v>51</v>
      </c>
      <c r="K254" s="1" t="s">
        <v>39</v>
      </c>
      <c r="L254" s="2">
        <v>46311</v>
      </c>
      <c r="M254" s="1">
        <v>10</v>
      </c>
      <c r="N254" s="1" t="s">
        <v>22</v>
      </c>
      <c r="O254" s="3" t="s">
        <v>57</v>
      </c>
    </row>
    <row r="255" spans="1:15" x14ac:dyDescent="0.3">
      <c r="A255" s="22">
        <v>46296.058622685188</v>
      </c>
      <c r="B255" s="23" t="s">
        <v>29</v>
      </c>
      <c r="C255" s="15">
        <v>28.571400000000001</v>
      </c>
      <c r="D255" s="1">
        <v>77.281300000000002</v>
      </c>
      <c r="E255" s="1" t="s">
        <v>47</v>
      </c>
      <c r="F255" s="1" t="s">
        <v>26</v>
      </c>
      <c r="G255" s="1" t="s">
        <v>50</v>
      </c>
      <c r="H255" s="1" t="s">
        <v>19</v>
      </c>
      <c r="I255" s="1" t="s">
        <v>20</v>
      </c>
      <c r="J255" s="1">
        <v>32</v>
      </c>
      <c r="K255" s="1" t="s">
        <v>39</v>
      </c>
      <c r="L255" s="2">
        <v>46311</v>
      </c>
      <c r="M255" s="1">
        <v>9</v>
      </c>
      <c r="N255" s="1" t="s">
        <v>22</v>
      </c>
      <c r="O255" s="3" t="s">
        <v>57</v>
      </c>
    </row>
    <row r="256" spans="1:15" x14ac:dyDescent="0.3">
      <c r="A256" s="20">
        <v>46296.058506944442</v>
      </c>
      <c r="B256" s="21" t="s">
        <v>24</v>
      </c>
      <c r="C256" s="15">
        <v>28.632999999999999</v>
      </c>
      <c r="D256" s="1">
        <v>77.2196</v>
      </c>
      <c r="E256" s="1" t="s">
        <v>16</v>
      </c>
      <c r="F256" s="1" t="s">
        <v>48</v>
      </c>
      <c r="G256" s="1" t="s">
        <v>45</v>
      </c>
      <c r="H256" s="1" t="s">
        <v>32</v>
      </c>
      <c r="I256" s="1" t="s">
        <v>20</v>
      </c>
      <c r="J256" s="1">
        <v>28</v>
      </c>
      <c r="K256" s="1" t="s">
        <v>34</v>
      </c>
      <c r="L256" s="2">
        <v>46311</v>
      </c>
      <c r="M256" s="1">
        <v>7</v>
      </c>
      <c r="N256" s="1" t="s">
        <v>22</v>
      </c>
      <c r="O256" s="3" t="s">
        <v>57</v>
      </c>
    </row>
    <row r="257" spans="1:15" x14ac:dyDescent="0.3">
      <c r="A257" s="22">
        <v>46296.058391203704</v>
      </c>
      <c r="B257" s="23" t="s">
        <v>15</v>
      </c>
      <c r="C257" s="15">
        <v>28.567599999999999</v>
      </c>
      <c r="D257" s="1">
        <v>77.209599999999995</v>
      </c>
      <c r="E257" s="1" t="s">
        <v>25</v>
      </c>
      <c r="F257" s="1" t="s">
        <v>44</v>
      </c>
      <c r="G257" s="1" t="s">
        <v>18</v>
      </c>
      <c r="H257" s="1" t="s">
        <v>32</v>
      </c>
      <c r="I257" s="1" t="s">
        <v>36</v>
      </c>
      <c r="J257" s="1">
        <v>26</v>
      </c>
      <c r="K257" s="1" t="s">
        <v>39</v>
      </c>
      <c r="L257" s="2">
        <v>46311</v>
      </c>
      <c r="M257" s="1">
        <v>4</v>
      </c>
      <c r="N257" s="1" t="s">
        <v>22</v>
      </c>
      <c r="O257" s="3" t="s">
        <v>23</v>
      </c>
    </row>
    <row r="258" spans="1:15" x14ac:dyDescent="0.3">
      <c r="A258" s="20">
        <v>46296.058275462965</v>
      </c>
      <c r="B258" s="21" t="s">
        <v>54</v>
      </c>
      <c r="C258" s="15">
        <v>28.567599999999999</v>
      </c>
      <c r="D258" s="1">
        <v>77.209599999999995</v>
      </c>
      <c r="E258" s="1" t="s">
        <v>25</v>
      </c>
      <c r="F258" s="1" t="s">
        <v>58</v>
      </c>
      <c r="G258" s="1" t="s">
        <v>50</v>
      </c>
      <c r="H258" s="1" t="s">
        <v>27</v>
      </c>
      <c r="I258" s="1" t="s">
        <v>20</v>
      </c>
      <c r="J258" s="1">
        <v>69</v>
      </c>
      <c r="K258" s="1" t="s">
        <v>34</v>
      </c>
      <c r="L258" s="2">
        <v>46311</v>
      </c>
      <c r="M258" s="1">
        <v>2</v>
      </c>
      <c r="N258" s="1" t="s">
        <v>22</v>
      </c>
      <c r="O258" s="3" t="s">
        <v>23</v>
      </c>
    </row>
    <row r="259" spans="1:15" x14ac:dyDescent="0.3">
      <c r="A259" s="22">
        <v>46296.058159722219</v>
      </c>
      <c r="B259" s="23" t="s">
        <v>37</v>
      </c>
      <c r="C259" s="15">
        <v>28.5562</v>
      </c>
      <c r="D259" s="1">
        <v>77.099999999999994</v>
      </c>
      <c r="E259" s="1" t="s">
        <v>38</v>
      </c>
      <c r="F259" s="1" t="s">
        <v>30</v>
      </c>
      <c r="G259" s="1" t="s">
        <v>31</v>
      </c>
      <c r="H259" s="1" t="s">
        <v>27</v>
      </c>
      <c r="I259" s="1" t="s">
        <v>49</v>
      </c>
      <c r="J259" s="1">
        <v>26</v>
      </c>
      <c r="K259" s="1" t="s">
        <v>21</v>
      </c>
      <c r="L259" s="2">
        <v>46310</v>
      </c>
      <c r="M259" s="1">
        <v>23</v>
      </c>
      <c r="N259" s="1" t="s">
        <v>59</v>
      </c>
      <c r="O259" s="3" t="s">
        <v>23</v>
      </c>
    </row>
    <row r="260" spans="1:15" x14ac:dyDescent="0.3">
      <c r="A260" s="20">
        <v>46296.05804398148</v>
      </c>
      <c r="B260" s="21" t="s">
        <v>40</v>
      </c>
      <c r="C260" s="15">
        <v>28.571400000000001</v>
      </c>
      <c r="D260" s="1">
        <v>77.281300000000002</v>
      </c>
      <c r="E260" s="1" t="s">
        <v>47</v>
      </c>
      <c r="F260" s="1" t="s">
        <v>26</v>
      </c>
      <c r="G260" s="1" t="s">
        <v>18</v>
      </c>
      <c r="H260" s="1" t="s">
        <v>19</v>
      </c>
      <c r="I260" s="1" t="s">
        <v>20</v>
      </c>
      <c r="J260" s="1">
        <v>42</v>
      </c>
      <c r="K260" s="1" t="s">
        <v>39</v>
      </c>
      <c r="L260" s="2">
        <v>46310</v>
      </c>
      <c r="M260" s="1">
        <v>22</v>
      </c>
      <c r="N260" s="1" t="s">
        <v>59</v>
      </c>
      <c r="O260" s="3" t="s">
        <v>23</v>
      </c>
    </row>
    <row r="261" spans="1:15" x14ac:dyDescent="0.3">
      <c r="A261" s="22">
        <v>46296.057928240742</v>
      </c>
      <c r="B261" s="23" t="s">
        <v>40</v>
      </c>
      <c r="C261" s="15">
        <v>28.656199999999998</v>
      </c>
      <c r="D261" s="1">
        <v>77.231499999999997</v>
      </c>
      <c r="E261" s="1" t="s">
        <v>55</v>
      </c>
      <c r="F261" s="1" t="s">
        <v>53</v>
      </c>
      <c r="G261" s="1" t="s">
        <v>18</v>
      </c>
      <c r="H261" s="1" t="s">
        <v>32</v>
      </c>
      <c r="I261" s="1" t="s">
        <v>33</v>
      </c>
      <c r="J261" s="1">
        <v>74</v>
      </c>
      <c r="K261" s="1" t="s">
        <v>39</v>
      </c>
      <c r="L261" s="2">
        <v>46310</v>
      </c>
      <c r="M261" s="1">
        <v>19</v>
      </c>
      <c r="N261" s="1" t="s">
        <v>59</v>
      </c>
      <c r="O261" s="3" t="s">
        <v>28</v>
      </c>
    </row>
    <row r="262" spans="1:15" x14ac:dyDescent="0.3">
      <c r="A262" s="20">
        <v>46296.057812500003</v>
      </c>
      <c r="B262" s="21" t="s">
        <v>54</v>
      </c>
      <c r="C262" s="15">
        <v>28.567599999999999</v>
      </c>
      <c r="D262" s="1">
        <v>77.209599999999995</v>
      </c>
      <c r="E262" s="1" t="s">
        <v>25</v>
      </c>
      <c r="F262" s="1" t="s">
        <v>26</v>
      </c>
      <c r="G262" s="1" t="s">
        <v>18</v>
      </c>
      <c r="H262" s="1" t="s">
        <v>61</v>
      </c>
      <c r="I262" s="1" t="s">
        <v>20</v>
      </c>
      <c r="J262" s="1">
        <v>67</v>
      </c>
      <c r="K262" s="1" t="s">
        <v>34</v>
      </c>
      <c r="L262" s="2">
        <v>46310</v>
      </c>
      <c r="M262" s="1">
        <v>17</v>
      </c>
      <c r="N262" s="1" t="s">
        <v>59</v>
      </c>
      <c r="O262" s="3" t="s">
        <v>28</v>
      </c>
    </row>
    <row r="263" spans="1:15" x14ac:dyDescent="0.3">
      <c r="A263" s="22">
        <v>46296.057696759257</v>
      </c>
      <c r="B263" s="23" t="s">
        <v>40</v>
      </c>
      <c r="C263" s="15">
        <v>28.571400000000001</v>
      </c>
      <c r="D263" s="1">
        <v>77.281300000000002</v>
      </c>
      <c r="E263" s="1" t="s">
        <v>47</v>
      </c>
      <c r="F263" s="1" t="s">
        <v>35</v>
      </c>
      <c r="G263" s="1" t="s">
        <v>18</v>
      </c>
      <c r="H263" s="1" t="s">
        <v>32</v>
      </c>
      <c r="I263" s="1" t="s">
        <v>20</v>
      </c>
      <c r="J263" s="1">
        <v>60</v>
      </c>
      <c r="K263" s="1" t="s">
        <v>39</v>
      </c>
      <c r="L263" s="2">
        <v>46310</v>
      </c>
      <c r="M263" s="1">
        <v>17</v>
      </c>
      <c r="N263" s="1" t="s">
        <v>59</v>
      </c>
      <c r="O263" s="3" t="s">
        <v>28</v>
      </c>
    </row>
    <row r="264" spans="1:15" x14ac:dyDescent="0.3">
      <c r="A264" s="20">
        <v>46296.057581018518</v>
      </c>
      <c r="B264" s="21" t="s">
        <v>42</v>
      </c>
      <c r="C264" s="15">
        <v>28.656199999999998</v>
      </c>
      <c r="D264" s="1">
        <v>77.231499999999997</v>
      </c>
      <c r="E264" s="1" t="s">
        <v>55</v>
      </c>
      <c r="F264" s="1" t="s">
        <v>17</v>
      </c>
      <c r="G264" s="1" t="s">
        <v>18</v>
      </c>
      <c r="H264" s="1" t="s">
        <v>19</v>
      </c>
      <c r="I264" s="1" t="s">
        <v>20</v>
      </c>
      <c r="J264" s="1">
        <v>73</v>
      </c>
      <c r="K264" s="1" t="s">
        <v>34</v>
      </c>
      <c r="L264" s="2">
        <v>46310</v>
      </c>
      <c r="M264" s="1">
        <v>13</v>
      </c>
      <c r="N264" s="1" t="s">
        <v>59</v>
      </c>
      <c r="O264" s="3" t="s">
        <v>51</v>
      </c>
    </row>
    <row r="265" spans="1:15" x14ac:dyDescent="0.3">
      <c r="A265" s="22">
        <v>46296.05746527778</v>
      </c>
      <c r="B265" s="23" t="s">
        <v>42</v>
      </c>
      <c r="C265" s="15">
        <v>28.545300000000001</v>
      </c>
      <c r="D265" s="1">
        <v>77.192499999999995</v>
      </c>
      <c r="E265" s="1" t="s">
        <v>41</v>
      </c>
      <c r="F265" s="1" t="s">
        <v>53</v>
      </c>
      <c r="G265" s="1" t="s">
        <v>45</v>
      </c>
      <c r="H265" s="1" t="s">
        <v>32</v>
      </c>
      <c r="I265" s="1" t="s">
        <v>56</v>
      </c>
      <c r="J265" s="1">
        <v>63</v>
      </c>
      <c r="K265" s="1" t="s">
        <v>34</v>
      </c>
      <c r="L265" s="2">
        <v>46310</v>
      </c>
      <c r="M265" s="1">
        <v>13</v>
      </c>
      <c r="N265" s="1" t="s">
        <v>59</v>
      </c>
      <c r="O265" s="3" t="s">
        <v>51</v>
      </c>
    </row>
    <row r="266" spans="1:15" x14ac:dyDescent="0.3">
      <c r="A266" s="20">
        <v>46296.057349537034</v>
      </c>
      <c r="B266" s="21" t="s">
        <v>15</v>
      </c>
      <c r="C266" s="15">
        <v>28.545300000000001</v>
      </c>
      <c r="D266" s="1">
        <v>77.192499999999995</v>
      </c>
      <c r="E266" s="1" t="s">
        <v>41</v>
      </c>
      <c r="F266" s="1" t="s">
        <v>17</v>
      </c>
      <c r="G266" s="1" t="s">
        <v>45</v>
      </c>
      <c r="H266" s="1" t="s">
        <v>32</v>
      </c>
      <c r="I266" s="1" t="s">
        <v>20</v>
      </c>
      <c r="J266" s="1">
        <v>67</v>
      </c>
      <c r="K266" s="1" t="s">
        <v>39</v>
      </c>
      <c r="L266" s="2">
        <v>46310</v>
      </c>
      <c r="M266" s="1">
        <v>11</v>
      </c>
      <c r="N266" s="1" t="s">
        <v>59</v>
      </c>
      <c r="O266" s="3" t="s">
        <v>57</v>
      </c>
    </row>
    <row r="267" spans="1:15" x14ac:dyDescent="0.3">
      <c r="A267" s="22">
        <v>46296.057233796295</v>
      </c>
      <c r="B267" s="23" t="s">
        <v>15</v>
      </c>
      <c r="C267" s="15">
        <v>28.5562</v>
      </c>
      <c r="D267" s="1">
        <v>77.099999999999994</v>
      </c>
      <c r="E267" s="1" t="s">
        <v>38</v>
      </c>
      <c r="F267" s="1" t="s">
        <v>26</v>
      </c>
      <c r="G267" s="1" t="s">
        <v>45</v>
      </c>
      <c r="H267" s="1" t="s">
        <v>32</v>
      </c>
      <c r="I267" s="1" t="s">
        <v>20</v>
      </c>
      <c r="J267" s="1">
        <v>41</v>
      </c>
      <c r="K267" s="1" t="s">
        <v>21</v>
      </c>
      <c r="L267" s="2">
        <v>46310</v>
      </c>
      <c r="M267" s="1">
        <v>9</v>
      </c>
      <c r="N267" s="1" t="s">
        <v>59</v>
      </c>
      <c r="O267" s="3" t="s">
        <v>57</v>
      </c>
    </row>
    <row r="268" spans="1:15" x14ac:dyDescent="0.3">
      <c r="A268" s="20">
        <v>46296.057118055556</v>
      </c>
      <c r="B268" s="21" t="s">
        <v>40</v>
      </c>
      <c r="C268" s="15">
        <v>28.567599999999999</v>
      </c>
      <c r="D268" s="1">
        <v>77.209599999999995</v>
      </c>
      <c r="E268" s="1" t="s">
        <v>25</v>
      </c>
      <c r="F268" s="1" t="s">
        <v>48</v>
      </c>
      <c r="G268" s="1" t="s">
        <v>18</v>
      </c>
      <c r="H268" s="1" t="s">
        <v>32</v>
      </c>
      <c r="I268" s="1" t="s">
        <v>20</v>
      </c>
      <c r="J268" s="1">
        <v>58</v>
      </c>
      <c r="K268" s="1" t="s">
        <v>34</v>
      </c>
      <c r="L268" s="2">
        <v>46310</v>
      </c>
      <c r="M268" s="1">
        <v>9</v>
      </c>
      <c r="N268" s="1" t="s">
        <v>59</v>
      </c>
      <c r="O268" s="3" t="s">
        <v>57</v>
      </c>
    </row>
    <row r="269" spans="1:15" x14ac:dyDescent="0.3">
      <c r="A269" s="22">
        <v>46296.057002314818</v>
      </c>
      <c r="B269" s="23" t="s">
        <v>15</v>
      </c>
      <c r="C269" s="15">
        <v>28.6129</v>
      </c>
      <c r="D269" s="1">
        <v>77.229500000000002</v>
      </c>
      <c r="E269" s="1" t="s">
        <v>43</v>
      </c>
      <c r="F269" s="1" t="s">
        <v>17</v>
      </c>
      <c r="G269" s="1" t="s">
        <v>18</v>
      </c>
      <c r="H269" s="1" t="s">
        <v>61</v>
      </c>
      <c r="I269" s="1" t="s">
        <v>20</v>
      </c>
      <c r="J269" s="1">
        <v>61</v>
      </c>
      <c r="K269" s="1" t="s">
        <v>21</v>
      </c>
      <c r="L269" s="2">
        <v>46310</v>
      </c>
      <c r="M269" s="1">
        <v>5</v>
      </c>
      <c r="N269" s="1" t="s">
        <v>59</v>
      </c>
      <c r="O269" s="3" t="s">
        <v>23</v>
      </c>
    </row>
    <row r="270" spans="1:15" x14ac:dyDescent="0.3">
      <c r="A270" s="20">
        <v>46296.056886574072</v>
      </c>
      <c r="B270" s="21" t="s">
        <v>54</v>
      </c>
      <c r="C270" s="15">
        <v>28.6328</v>
      </c>
      <c r="D270" s="1">
        <v>77.219499999999996</v>
      </c>
      <c r="E270" s="1" t="s">
        <v>16</v>
      </c>
      <c r="F270" s="1" t="s">
        <v>35</v>
      </c>
      <c r="G270" s="1" t="s">
        <v>18</v>
      </c>
      <c r="H270" s="1" t="s">
        <v>32</v>
      </c>
      <c r="I270" s="1" t="s">
        <v>49</v>
      </c>
      <c r="J270" s="1">
        <v>46</v>
      </c>
      <c r="K270" s="1" t="s">
        <v>34</v>
      </c>
      <c r="L270" s="2">
        <v>46310</v>
      </c>
      <c r="M270" s="1">
        <v>4</v>
      </c>
      <c r="N270" s="1" t="s">
        <v>59</v>
      </c>
      <c r="O270" s="3" t="s">
        <v>23</v>
      </c>
    </row>
    <row r="271" spans="1:15" x14ac:dyDescent="0.3">
      <c r="A271" s="22">
        <v>46296.056770833333</v>
      </c>
      <c r="B271" s="23" t="s">
        <v>29</v>
      </c>
      <c r="C271" s="15">
        <v>28.6129</v>
      </c>
      <c r="D271" s="1">
        <v>77.229500000000002</v>
      </c>
      <c r="E271" s="1" t="s">
        <v>43</v>
      </c>
      <c r="F271" s="1" t="s">
        <v>30</v>
      </c>
      <c r="G271" s="1" t="s">
        <v>50</v>
      </c>
      <c r="H271" s="1" t="s">
        <v>27</v>
      </c>
      <c r="I271" s="1" t="s">
        <v>49</v>
      </c>
      <c r="J271" s="1">
        <v>23</v>
      </c>
      <c r="K271" s="1" t="s">
        <v>39</v>
      </c>
      <c r="L271" s="2">
        <v>46310</v>
      </c>
      <c r="M271" s="1">
        <v>2</v>
      </c>
      <c r="N271" s="1" t="s">
        <v>59</v>
      </c>
      <c r="O271" s="3" t="s">
        <v>23</v>
      </c>
    </row>
    <row r="272" spans="1:15" x14ac:dyDescent="0.3">
      <c r="A272" s="20">
        <v>46296.056655092594</v>
      </c>
      <c r="B272" s="21" t="s">
        <v>42</v>
      </c>
      <c r="C272" s="15">
        <v>28.632999999999999</v>
      </c>
      <c r="D272" s="1">
        <v>77.2196</v>
      </c>
      <c r="E272" s="1" t="s">
        <v>16</v>
      </c>
      <c r="F272" s="1" t="s">
        <v>48</v>
      </c>
      <c r="G272" s="1" t="s">
        <v>18</v>
      </c>
      <c r="H272" s="1" t="s">
        <v>19</v>
      </c>
      <c r="I272" s="1" t="s">
        <v>20</v>
      </c>
      <c r="J272" s="1">
        <v>63</v>
      </c>
      <c r="K272" s="1" t="s">
        <v>34</v>
      </c>
      <c r="L272" s="2">
        <v>46310</v>
      </c>
      <c r="M272" s="1">
        <v>1</v>
      </c>
      <c r="N272" s="1" t="s">
        <v>59</v>
      </c>
      <c r="O272" s="3" t="s">
        <v>23</v>
      </c>
    </row>
    <row r="273" spans="1:15" x14ac:dyDescent="0.3">
      <c r="A273" s="22">
        <v>46296.056539351855</v>
      </c>
      <c r="B273" s="23" t="s">
        <v>40</v>
      </c>
      <c r="C273" s="15">
        <v>28.6129</v>
      </c>
      <c r="D273" s="1">
        <v>77.229500000000002</v>
      </c>
      <c r="E273" s="1" t="s">
        <v>43</v>
      </c>
      <c r="F273" s="1" t="s">
        <v>30</v>
      </c>
      <c r="G273" s="1" t="s">
        <v>50</v>
      </c>
      <c r="H273" s="1" t="s">
        <v>27</v>
      </c>
      <c r="I273" s="1" t="s">
        <v>20</v>
      </c>
      <c r="J273" s="1">
        <v>59</v>
      </c>
      <c r="K273" s="1" t="s">
        <v>39</v>
      </c>
      <c r="L273" s="2">
        <v>46310</v>
      </c>
      <c r="M273" s="1">
        <v>0</v>
      </c>
      <c r="N273" s="1" t="s">
        <v>59</v>
      </c>
      <c r="O273" s="3" t="s">
        <v>23</v>
      </c>
    </row>
    <row r="274" spans="1:15" x14ac:dyDescent="0.3">
      <c r="A274" s="20">
        <v>46296.056423611109</v>
      </c>
      <c r="B274" s="21" t="s">
        <v>29</v>
      </c>
      <c r="C274" s="15">
        <v>28.5562</v>
      </c>
      <c r="D274" s="1">
        <v>77.099999999999994</v>
      </c>
      <c r="E274" s="1" t="s">
        <v>38</v>
      </c>
      <c r="F274" s="1" t="s">
        <v>17</v>
      </c>
      <c r="G274" s="1" t="s">
        <v>31</v>
      </c>
      <c r="H274" s="1" t="s">
        <v>32</v>
      </c>
      <c r="I274" s="1" t="s">
        <v>20</v>
      </c>
      <c r="J274" s="1">
        <v>21</v>
      </c>
      <c r="K274" s="1" t="s">
        <v>34</v>
      </c>
      <c r="L274" s="2">
        <v>46309</v>
      </c>
      <c r="M274" s="1">
        <v>23</v>
      </c>
      <c r="N274" s="1" t="s">
        <v>60</v>
      </c>
      <c r="O274" s="3" t="s">
        <v>23</v>
      </c>
    </row>
    <row r="275" spans="1:15" x14ac:dyDescent="0.3">
      <c r="A275" s="22">
        <v>46296.056307870371</v>
      </c>
      <c r="B275" s="23" t="s">
        <v>40</v>
      </c>
      <c r="C275" s="15">
        <v>28.545300000000001</v>
      </c>
      <c r="D275" s="1">
        <v>77.192499999999995</v>
      </c>
      <c r="E275" s="1" t="s">
        <v>41</v>
      </c>
      <c r="F275" s="1" t="s">
        <v>26</v>
      </c>
      <c r="G275" s="1" t="s">
        <v>50</v>
      </c>
      <c r="H275" s="1" t="s">
        <v>61</v>
      </c>
      <c r="I275" s="1" t="s">
        <v>20</v>
      </c>
      <c r="J275" s="1">
        <v>25</v>
      </c>
      <c r="K275" s="1" t="s">
        <v>39</v>
      </c>
      <c r="L275" s="2">
        <v>46309</v>
      </c>
      <c r="M275" s="1">
        <v>19</v>
      </c>
      <c r="N275" s="1" t="s">
        <v>60</v>
      </c>
      <c r="O275" s="3" t="s">
        <v>28</v>
      </c>
    </row>
    <row r="276" spans="1:15" x14ac:dyDescent="0.3">
      <c r="A276" s="20">
        <v>46296.056192129632</v>
      </c>
      <c r="B276" s="21" t="s">
        <v>40</v>
      </c>
      <c r="C276" s="15">
        <v>28.6328</v>
      </c>
      <c r="D276" s="1">
        <v>77.219499999999996</v>
      </c>
      <c r="E276" s="1" t="s">
        <v>16</v>
      </c>
      <c r="F276" s="1" t="s">
        <v>48</v>
      </c>
      <c r="G276" s="1" t="s">
        <v>18</v>
      </c>
      <c r="H276" s="1" t="s">
        <v>61</v>
      </c>
      <c r="I276" s="1" t="s">
        <v>20</v>
      </c>
      <c r="J276" s="1">
        <v>53</v>
      </c>
      <c r="K276" s="1" t="s">
        <v>21</v>
      </c>
      <c r="L276" s="2">
        <v>46309</v>
      </c>
      <c r="M276" s="1">
        <v>16</v>
      </c>
      <c r="N276" s="1" t="s">
        <v>60</v>
      </c>
      <c r="O276" s="3" t="s">
        <v>51</v>
      </c>
    </row>
    <row r="277" spans="1:15" x14ac:dyDescent="0.3">
      <c r="A277" s="22">
        <v>46296.056076388886</v>
      </c>
      <c r="B277" s="23" t="s">
        <v>40</v>
      </c>
      <c r="C277" s="15">
        <v>28.6129</v>
      </c>
      <c r="D277" s="1">
        <v>77.229500000000002</v>
      </c>
      <c r="E277" s="1" t="s">
        <v>43</v>
      </c>
      <c r="F277" s="1" t="s">
        <v>17</v>
      </c>
      <c r="G277" s="1" t="s">
        <v>18</v>
      </c>
      <c r="H277" s="1" t="s">
        <v>32</v>
      </c>
      <c r="I277" s="1" t="s">
        <v>20</v>
      </c>
      <c r="J277" s="1">
        <v>36</v>
      </c>
      <c r="K277" s="1" t="s">
        <v>39</v>
      </c>
      <c r="L277" s="2">
        <v>46309</v>
      </c>
      <c r="M277" s="1">
        <v>16</v>
      </c>
      <c r="N277" s="1" t="s">
        <v>60</v>
      </c>
      <c r="O277" s="3" t="s">
        <v>51</v>
      </c>
    </row>
    <row r="278" spans="1:15" x14ac:dyDescent="0.3">
      <c r="A278" s="20">
        <v>46296.055960648147</v>
      </c>
      <c r="B278" s="21" t="s">
        <v>46</v>
      </c>
      <c r="C278" s="15">
        <v>28.545300000000001</v>
      </c>
      <c r="D278" s="1">
        <v>77.192499999999995</v>
      </c>
      <c r="E278" s="1" t="s">
        <v>41</v>
      </c>
      <c r="F278" s="1" t="s">
        <v>30</v>
      </c>
      <c r="G278" s="1" t="s">
        <v>31</v>
      </c>
      <c r="H278" s="1" t="s">
        <v>27</v>
      </c>
      <c r="I278" s="1" t="s">
        <v>56</v>
      </c>
      <c r="J278" s="1">
        <v>22</v>
      </c>
      <c r="K278" s="1" t="s">
        <v>39</v>
      </c>
      <c r="L278" s="2">
        <v>46309</v>
      </c>
      <c r="M278" s="1">
        <v>14</v>
      </c>
      <c r="N278" s="1" t="s">
        <v>60</v>
      </c>
      <c r="O278" s="3" t="s">
        <v>51</v>
      </c>
    </row>
    <row r="279" spans="1:15" x14ac:dyDescent="0.3">
      <c r="A279" s="22">
        <v>46296.055844907409</v>
      </c>
      <c r="B279" s="23" t="s">
        <v>46</v>
      </c>
      <c r="C279" s="15">
        <v>28.632999999999999</v>
      </c>
      <c r="D279" s="1">
        <v>77.2196</v>
      </c>
      <c r="E279" s="1" t="s">
        <v>16</v>
      </c>
      <c r="F279" s="1" t="s">
        <v>52</v>
      </c>
      <c r="G279" s="1" t="s">
        <v>45</v>
      </c>
      <c r="H279" s="1" t="s">
        <v>61</v>
      </c>
      <c r="I279" s="1" t="s">
        <v>36</v>
      </c>
      <c r="J279" s="1">
        <v>53</v>
      </c>
      <c r="K279" s="1" t="s">
        <v>39</v>
      </c>
      <c r="L279" s="2">
        <v>46309</v>
      </c>
      <c r="M279" s="1">
        <v>14</v>
      </c>
      <c r="N279" s="1" t="s">
        <v>60</v>
      </c>
      <c r="O279" s="3" t="s">
        <v>51</v>
      </c>
    </row>
    <row r="280" spans="1:15" x14ac:dyDescent="0.3">
      <c r="A280" s="20">
        <v>46296.05572916667</v>
      </c>
      <c r="B280" s="21" t="s">
        <v>29</v>
      </c>
      <c r="C280" s="15">
        <v>28.571400000000001</v>
      </c>
      <c r="D280" s="1">
        <v>77.281300000000002</v>
      </c>
      <c r="E280" s="1" t="s">
        <v>47</v>
      </c>
      <c r="F280" s="1" t="s">
        <v>44</v>
      </c>
      <c r="G280" s="1" t="s">
        <v>31</v>
      </c>
      <c r="H280" s="1" t="s">
        <v>32</v>
      </c>
      <c r="I280" s="1" t="s">
        <v>56</v>
      </c>
      <c r="J280" s="1">
        <v>46</v>
      </c>
      <c r="K280" s="1" t="s">
        <v>39</v>
      </c>
      <c r="L280" s="2">
        <v>46309</v>
      </c>
      <c r="M280" s="1">
        <v>14</v>
      </c>
      <c r="N280" s="1" t="s">
        <v>60</v>
      </c>
      <c r="O280" s="3" t="s">
        <v>51</v>
      </c>
    </row>
    <row r="281" spans="1:15" x14ac:dyDescent="0.3">
      <c r="A281" s="22">
        <v>46296.055613425924</v>
      </c>
      <c r="B281" s="23" t="s">
        <v>54</v>
      </c>
      <c r="C281" s="15">
        <v>28.571400000000001</v>
      </c>
      <c r="D281" s="1">
        <v>77.281300000000002</v>
      </c>
      <c r="E281" s="1" t="s">
        <v>47</v>
      </c>
      <c r="F281" s="1" t="s">
        <v>26</v>
      </c>
      <c r="G281" s="1" t="s">
        <v>45</v>
      </c>
      <c r="H281" s="1" t="s">
        <v>61</v>
      </c>
      <c r="I281" s="1" t="s">
        <v>20</v>
      </c>
      <c r="J281" s="1">
        <v>58</v>
      </c>
      <c r="K281" s="1" t="s">
        <v>21</v>
      </c>
      <c r="L281" s="2">
        <v>46309</v>
      </c>
      <c r="M281" s="1">
        <v>14</v>
      </c>
      <c r="N281" s="1" t="s">
        <v>60</v>
      </c>
      <c r="O281" s="3" t="s">
        <v>51</v>
      </c>
    </row>
    <row r="282" spans="1:15" x14ac:dyDescent="0.3">
      <c r="A282" s="20">
        <v>46296.055497685185</v>
      </c>
      <c r="B282" s="21" t="s">
        <v>40</v>
      </c>
      <c r="C282" s="15">
        <v>28.632999999999999</v>
      </c>
      <c r="D282" s="1">
        <v>77.2196</v>
      </c>
      <c r="E282" s="1" t="s">
        <v>16</v>
      </c>
      <c r="F282" s="1" t="s">
        <v>44</v>
      </c>
      <c r="G282" s="1" t="s">
        <v>31</v>
      </c>
      <c r="H282" s="1" t="s">
        <v>32</v>
      </c>
      <c r="I282" s="1" t="s">
        <v>36</v>
      </c>
      <c r="J282" s="1">
        <v>59</v>
      </c>
      <c r="K282" s="1" t="s">
        <v>39</v>
      </c>
      <c r="L282" s="2">
        <v>46309</v>
      </c>
      <c r="M282" s="1">
        <v>13</v>
      </c>
      <c r="N282" s="1" t="s">
        <v>60</v>
      </c>
      <c r="O282" s="3" t="s">
        <v>51</v>
      </c>
    </row>
    <row r="283" spans="1:15" x14ac:dyDescent="0.3">
      <c r="A283" s="22">
        <v>46296.055381944447</v>
      </c>
      <c r="B283" s="23" t="s">
        <v>24</v>
      </c>
      <c r="C283" s="15">
        <v>28.545300000000001</v>
      </c>
      <c r="D283" s="1">
        <v>77.192499999999995</v>
      </c>
      <c r="E283" s="1" t="s">
        <v>41</v>
      </c>
      <c r="F283" s="1" t="s">
        <v>30</v>
      </c>
      <c r="G283" s="1" t="s">
        <v>50</v>
      </c>
      <c r="H283" s="1" t="s">
        <v>19</v>
      </c>
      <c r="I283" s="1" t="s">
        <v>36</v>
      </c>
      <c r="J283" s="1">
        <v>40</v>
      </c>
      <c r="K283" s="1" t="s">
        <v>21</v>
      </c>
      <c r="L283" s="2">
        <v>46309</v>
      </c>
      <c r="M283" s="1">
        <v>10</v>
      </c>
      <c r="N283" s="1" t="s">
        <v>60</v>
      </c>
      <c r="O283" s="3" t="s">
        <v>57</v>
      </c>
    </row>
    <row r="284" spans="1:15" x14ac:dyDescent="0.3">
      <c r="A284" s="20">
        <v>46296.055266203701</v>
      </c>
      <c r="B284" s="21" t="s">
        <v>15</v>
      </c>
      <c r="C284" s="15">
        <v>28.5562</v>
      </c>
      <c r="D284" s="1">
        <v>77.099999999999994</v>
      </c>
      <c r="E284" s="1" t="s">
        <v>38</v>
      </c>
      <c r="F284" s="1" t="s">
        <v>26</v>
      </c>
      <c r="G284" s="1" t="s">
        <v>50</v>
      </c>
      <c r="H284" s="1" t="s">
        <v>61</v>
      </c>
      <c r="I284" s="1" t="s">
        <v>20</v>
      </c>
      <c r="J284" s="1">
        <v>49</v>
      </c>
      <c r="K284" s="1" t="s">
        <v>21</v>
      </c>
      <c r="L284" s="2">
        <v>46309</v>
      </c>
      <c r="M284" s="1">
        <v>10</v>
      </c>
      <c r="N284" s="1" t="s">
        <v>60</v>
      </c>
      <c r="O284" s="3" t="s">
        <v>57</v>
      </c>
    </row>
    <row r="285" spans="1:15" x14ac:dyDescent="0.3">
      <c r="A285" s="22">
        <v>46296.055150462962</v>
      </c>
      <c r="B285" s="23" t="s">
        <v>37</v>
      </c>
      <c r="C285" s="15">
        <v>28.567599999999999</v>
      </c>
      <c r="D285" s="1">
        <v>77.209599999999995</v>
      </c>
      <c r="E285" s="1" t="s">
        <v>25</v>
      </c>
      <c r="F285" s="1" t="s">
        <v>26</v>
      </c>
      <c r="G285" s="1" t="s">
        <v>18</v>
      </c>
      <c r="H285" s="1" t="s">
        <v>27</v>
      </c>
      <c r="I285" s="1" t="s">
        <v>20</v>
      </c>
      <c r="J285" s="1">
        <v>29</v>
      </c>
      <c r="K285" s="1" t="s">
        <v>39</v>
      </c>
      <c r="L285" s="2">
        <v>46309</v>
      </c>
      <c r="M285" s="1">
        <v>6</v>
      </c>
      <c r="N285" s="1" t="s">
        <v>60</v>
      </c>
      <c r="O285" s="3" t="s">
        <v>57</v>
      </c>
    </row>
    <row r="286" spans="1:15" x14ac:dyDescent="0.3">
      <c r="A286" s="20">
        <v>46296.055034722223</v>
      </c>
      <c r="B286" s="21" t="s">
        <v>37</v>
      </c>
      <c r="C286" s="15">
        <v>28.656199999999998</v>
      </c>
      <c r="D286" s="1">
        <v>77.231499999999997</v>
      </c>
      <c r="E286" s="1" t="s">
        <v>55</v>
      </c>
      <c r="F286" s="1" t="s">
        <v>17</v>
      </c>
      <c r="G286" s="1" t="s">
        <v>50</v>
      </c>
      <c r="H286" s="1" t="s">
        <v>27</v>
      </c>
      <c r="I286" s="1" t="s">
        <v>20</v>
      </c>
      <c r="J286" s="1">
        <v>47</v>
      </c>
      <c r="K286" s="1" t="s">
        <v>34</v>
      </c>
      <c r="L286" s="2">
        <v>46309</v>
      </c>
      <c r="M286" s="1">
        <v>6</v>
      </c>
      <c r="N286" s="1" t="s">
        <v>60</v>
      </c>
      <c r="O286" s="3" t="s">
        <v>57</v>
      </c>
    </row>
    <row r="287" spans="1:15" x14ac:dyDescent="0.3">
      <c r="A287" s="22">
        <v>46296.054918981485</v>
      </c>
      <c r="B287" s="23" t="s">
        <v>40</v>
      </c>
      <c r="C287" s="15">
        <v>28.567599999999999</v>
      </c>
      <c r="D287" s="1">
        <v>77.209599999999995</v>
      </c>
      <c r="E287" s="1" t="s">
        <v>25</v>
      </c>
      <c r="F287" s="1" t="s">
        <v>17</v>
      </c>
      <c r="G287" s="1" t="s">
        <v>50</v>
      </c>
      <c r="H287" s="1" t="s">
        <v>32</v>
      </c>
      <c r="I287" s="1" t="s">
        <v>20</v>
      </c>
      <c r="J287" s="1">
        <v>46</v>
      </c>
      <c r="K287" s="1" t="s">
        <v>39</v>
      </c>
      <c r="L287" s="2">
        <v>46309</v>
      </c>
      <c r="M287" s="1">
        <v>5</v>
      </c>
      <c r="N287" s="1" t="s">
        <v>60</v>
      </c>
      <c r="O287" s="3" t="s">
        <v>23</v>
      </c>
    </row>
    <row r="288" spans="1:15" x14ac:dyDescent="0.3">
      <c r="A288" s="20">
        <v>46296.054803240739</v>
      </c>
      <c r="B288" s="21" t="s">
        <v>37</v>
      </c>
      <c r="C288" s="15">
        <v>28.656199999999998</v>
      </c>
      <c r="D288" s="1">
        <v>77.231499999999997</v>
      </c>
      <c r="E288" s="1" t="s">
        <v>55</v>
      </c>
      <c r="F288" s="1" t="s">
        <v>35</v>
      </c>
      <c r="G288" s="1" t="s">
        <v>50</v>
      </c>
      <c r="H288" s="1" t="s">
        <v>27</v>
      </c>
      <c r="I288" s="1" t="s">
        <v>36</v>
      </c>
      <c r="J288" s="1">
        <v>23</v>
      </c>
      <c r="K288" s="1" t="s">
        <v>21</v>
      </c>
      <c r="L288" s="2">
        <v>46309</v>
      </c>
      <c r="M288" s="1">
        <v>2</v>
      </c>
      <c r="N288" s="1" t="s">
        <v>60</v>
      </c>
      <c r="O288" s="3" t="s">
        <v>23</v>
      </c>
    </row>
    <row r="289" spans="1:15" x14ac:dyDescent="0.3">
      <c r="A289" s="22">
        <v>46296.0546875</v>
      </c>
      <c r="B289" s="23" t="s">
        <v>46</v>
      </c>
      <c r="C289" s="15">
        <v>28.571400000000001</v>
      </c>
      <c r="D289" s="1">
        <v>77.281300000000002</v>
      </c>
      <c r="E289" s="1" t="s">
        <v>47</v>
      </c>
      <c r="F289" s="1" t="s">
        <v>44</v>
      </c>
      <c r="G289" s="1" t="s">
        <v>50</v>
      </c>
      <c r="H289" s="1" t="s">
        <v>27</v>
      </c>
      <c r="I289" s="1" t="s">
        <v>36</v>
      </c>
      <c r="J289" s="1">
        <v>70</v>
      </c>
      <c r="K289" s="1" t="s">
        <v>21</v>
      </c>
      <c r="L289" s="2">
        <v>46309</v>
      </c>
      <c r="M289" s="1">
        <v>2</v>
      </c>
      <c r="N289" s="1" t="s">
        <v>60</v>
      </c>
      <c r="O289" s="3" t="s">
        <v>23</v>
      </c>
    </row>
    <row r="290" spans="1:15" x14ac:dyDescent="0.3">
      <c r="A290" s="20">
        <v>46296.054571759261</v>
      </c>
      <c r="B290" s="21" t="s">
        <v>40</v>
      </c>
      <c r="C290" s="15">
        <v>28.632999999999999</v>
      </c>
      <c r="D290" s="1">
        <v>77.2196</v>
      </c>
      <c r="E290" s="1" t="s">
        <v>16</v>
      </c>
      <c r="F290" s="1" t="s">
        <v>17</v>
      </c>
      <c r="G290" s="1" t="s">
        <v>45</v>
      </c>
      <c r="H290" s="1" t="s">
        <v>32</v>
      </c>
      <c r="I290" s="1" t="s">
        <v>20</v>
      </c>
      <c r="J290" s="1">
        <v>27</v>
      </c>
      <c r="K290" s="1" t="s">
        <v>39</v>
      </c>
      <c r="L290" s="2">
        <v>46309</v>
      </c>
      <c r="M290" s="1">
        <v>2</v>
      </c>
      <c r="N290" s="1" t="s">
        <v>60</v>
      </c>
      <c r="O290" s="3" t="s">
        <v>23</v>
      </c>
    </row>
    <row r="291" spans="1:15" x14ac:dyDescent="0.3">
      <c r="A291" s="22">
        <v>46296.054456018515</v>
      </c>
      <c r="B291" s="23" t="s">
        <v>37</v>
      </c>
      <c r="C291" s="15">
        <v>28.6328</v>
      </c>
      <c r="D291" s="1">
        <v>77.219499999999996</v>
      </c>
      <c r="E291" s="1" t="s">
        <v>16</v>
      </c>
      <c r="F291" s="1" t="s">
        <v>17</v>
      </c>
      <c r="G291" s="1" t="s">
        <v>45</v>
      </c>
      <c r="H291" s="1" t="s">
        <v>27</v>
      </c>
      <c r="I291" s="1" t="s">
        <v>20</v>
      </c>
      <c r="J291" s="1">
        <v>59</v>
      </c>
      <c r="K291" s="1" t="s">
        <v>39</v>
      </c>
      <c r="L291" s="2">
        <v>46309</v>
      </c>
      <c r="M291" s="1">
        <v>1</v>
      </c>
      <c r="N291" s="1" t="s">
        <v>60</v>
      </c>
      <c r="O291" s="3" t="s">
        <v>23</v>
      </c>
    </row>
    <row r="292" spans="1:15" x14ac:dyDescent="0.3">
      <c r="A292" s="20">
        <v>46296.054340277777</v>
      </c>
      <c r="B292" s="21" t="s">
        <v>37</v>
      </c>
      <c r="C292" s="15">
        <v>28.656199999999998</v>
      </c>
      <c r="D292" s="1">
        <v>77.231499999999997</v>
      </c>
      <c r="E292" s="1" t="s">
        <v>55</v>
      </c>
      <c r="F292" s="1" t="s">
        <v>52</v>
      </c>
      <c r="G292" s="1" t="s">
        <v>18</v>
      </c>
      <c r="H292" s="1" t="s">
        <v>32</v>
      </c>
      <c r="I292" s="1" t="s">
        <v>56</v>
      </c>
      <c r="J292" s="1">
        <v>57</v>
      </c>
      <c r="K292" s="1" t="s">
        <v>21</v>
      </c>
      <c r="L292" s="2">
        <v>46309</v>
      </c>
      <c r="M292" s="1">
        <v>0</v>
      </c>
      <c r="N292" s="1" t="s">
        <v>60</v>
      </c>
      <c r="O292" s="3" t="s">
        <v>23</v>
      </c>
    </row>
    <row r="293" spans="1:15" x14ac:dyDescent="0.3">
      <c r="A293" s="22">
        <v>46296.054224537038</v>
      </c>
      <c r="B293" s="23" t="s">
        <v>24</v>
      </c>
      <c r="C293" s="15">
        <v>28.6129</v>
      </c>
      <c r="D293" s="1">
        <v>77.229500000000002</v>
      </c>
      <c r="E293" s="1" t="s">
        <v>43</v>
      </c>
      <c r="F293" s="1" t="s">
        <v>53</v>
      </c>
      <c r="G293" s="1" t="s">
        <v>18</v>
      </c>
      <c r="H293" s="1" t="s">
        <v>32</v>
      </c>
      <c r="I293" s="1" t="s">
        <v>36</v>
      </c>
      <c r="J293" s="1">
        <v>59</v>
      </c>
      <c r="K293" s="1" t="s">
        <v>21</v>
      </c>
      <c r="L293" s="2">
        <v>46309</v>
      </c>
      <c r="M293" s="1">
        <v>0</v>
      </c>
      <c r="N293" s="1" t="s">
        <v>60</v>
      </c>
      <c r="O293" s="3" t="s">
        <v>23</v>
      </c>
    </row>
    <row r="294" spans="1:15" x14ac:dyDescent="0.3">
      <c r="A294" s="20">
        <v>46296.054108796299</v>
      </c>
      <c r="B294" s="21" t="s">
        <v>40</v>
      </c>
      <c r="C294" s="15">
        <v>28.656199999999998</v>
      </c>
      <c r="D294" s="1">
        <v>77.231499999999997</v>
      </c>
      <c r="E294" s="1" t="s">
        <v>55</v>
      </c>
      <c r="F294" s="1" t="s">
        <v>26</v>
      </c>
      <c r="G294" s="1" t="s">
        <v>45</v>
      </c>
      <c r="H294" s="1" t="s">
        <v>19</v>
      </c>
      <c r="I294" s="1" t="s">
        <v>20</v>
      </c>
      <c r="J294" s="1">
        <v>34</v>
      </c>
      <c r="K294" s="1" t="s">
        <v>39</v>
      </c>
      <c r="L294" s="2">
        <v>46309</v>
      </c>
      <c r="M294" s="1">
        <v>0</v>
      </c>
      <c r="N294" s="1" t="s">
        <v>60</v>
      </c>
      <c r="O294" s="3" t="s">
        <v>23</v>
      </c>
    </row>
    <row r="295" spans="1:15" x14ac:dyDescent="0.3">
      <c r="A295" s="22">
        <v>46296.053993055553</v>
      </c>
      <c r="B295" s="23" t="s">
        <v>37</v>
      </c>
      <c r="C295" s="15">
        <v>28.6129</v>
      </c>
      <c r="D295" s="1">
        <v>77.229500000000002</v>
      </c>
      <c r="E295" s="1" t="s">
        <v>43</v>
      </c>
      <c r="F295" s="1" t="s">
        <v>30</v>
      </c>
      <c r="G295" s="1" t="s">
        <v>18</v>
      </c>
      <c r="H295" s="1" t="s">
        <v>27</v>
      </c>
      <c r="I295" s="1" t="s">
        <v>56</v>
      </c>
      <c r="J295" s="1">
        <v>72</v>
      </c>
      <c r="K295" s="1" t="s">
        <v>34</v>
      </c>
      <c r="L295" s="2">
        <v>46308</v>
      </c>
      <c r="M295" s="1">
        <v>23</v>
      </c>
      <c r="N295" s="1" t="s">
        <v>62</v>
      </c>
      <c r="O295" s="3" t="s">
        <v>23</v>
      </c>
    </row>
    <row r="296" spans="1:15" x14ac:dyDescent="0.3">
      <c r="A296" s="20">
        <v>46296.053877314815</v>
      </c>
      <c r="B296" s="21" t="s">
        <v>40</v>
      </c>
      <c r="C296" s="15">
        <v>28.6129</v>
      </c>
      <c r="D296" s="1">
        <v>77.229500000000002</v>
      </c>
      <c r="E296" s="1" t="s">
        <v>43</v>
      </c>
      <c r="F296" s="1" t="s">
        <v>48</v>
      </c>
      <c r="G296" s="1" t="s">
        <v>18</v>
      </c>
      <c r="H296" s="1" t="s">
        <v>27</v>
      </c>
      <c r="I296" s="1" t="s">
        <v>20</v>
      </c>
      <c r="J296" s="1">
        <v>20</v>
      </c>
      <c r="K296" s="1" t="s">
        <v>34</v>
      </c>
      <c r="L296" s="2">
        <v>46308</v>
      </c>
      <c r="M296" s="1">
        <v>21</v>
      </c>
      <c r="N296" s="1" t="s">
        <v>62</v>
      </c>
      <c r="O296" s="3" t="s">
        <v>23</v>
      </c>
    </row>
    <row r="297" spans="1:15" x14ac:dyDescent="0.3">
      <c r="A297" s="22">
        <v>46296.053761574076</v>
      </c>
      <c r="B297" s="23" t="s">
        <v>37</v>
      </c>
      <c r="C297" s="15">
        <v>28.6129</v>
      </c>
      <c r="D297" s="1">
        <v>77.229500000000002</v>
      </c>
      <c r="E297" s="1" t="s">
        <v>43</v>
      </c>
      <c r="F297" s="1" t="s">
        <v>48</v>
      </c>
      <c r="G297" s="1" t="s">
        <v>18</v>
      </c>
      <c r="H297" s="1" t="s">
        <v>27</v>
      </c>
      <c r="I297" s="1" t="s">
        <v>20</v>
      </c>
      <c r="J297" s="1">
        <v>67</v>
      </c>
      <c r="K297" s="1" t="s">
        <v>21</v>
      </c>
      <c r="L297" s="2">
        <v>46308</v>
      </c>
      <c r="M297" s="1">
        <v>20</v>
      </c>
      <c r="N297" s="1" t="s">
        <v>62</v>
      </c>
      <c r="O297" s="3" t="s">
        <v>28</v>
      </c>
    </row>
    <row r="298" spans="1:15" x14ac:dyDescent="0.3">
      <c r="A298" s="20">
        <v>46296.05364583333</v>
      </c>
      <c r="B298" s="21" t="s">
        <v>46</v>
      </c>
      <c r="C298" s="15">
        <v>28.571400000000001</v>
      </c>
      <c r="D298" s="1">
        <v>77.281300000000002</v>
      </c>
      <c r="E298" s="1" t="s">
        <v>47</v>
      </c>
      <c r="F298" s="1" t="s">
        <v>17</v>
      </c>
      <c r="G298" s="1" t="s">
        <v>45</v>
      </c>
      <c r="H298" s="1" t="s">
        <v>27</v>
      </c>
      <c r="I298" s="1" t="s">
        <v>20</v>
      </c>
      <c r="J298" s="1">
        <v>71</v>
      </c>
      <c r="K298" s="1" t="s">
        <v>21</v>
      </c>
      <c r="L298" s="2">
        <v>46308</v>
      </c>
      <c r="M298" s="1">
        <v>19</v>
      </c>
      <c r="N298" s="1" t="s">
        <v>62</v>
      </c>
      <c r="O298" s="3" t="s">
        <v>28</v>
      </c>
    </row>
    <row r="299" spans="1:15" x14ac:dyDescent="0.3">
      <c r="A299" s="22">
        <v>46296.053530092591</v>
      </c>
      <c r="B299" s="23" t="s">
        <v>24</v>
      </c>
      <c r="C299" s="15">
        <v>28.567599999999999</v>
      </c>
      <c r="D299" s="1">
        <v>77.209599999999995</v>
      </c>
      <c r="E299" s="1" t="s">
        <v>25</v>
      </c>
      <c r="F299" s="1" t="s">
        <v>17</v>
      </c>
      <c r="G299" s="1" t="s">
        <v>18</v>
      </c>
      <c r="H299" s="1" t="s">
        <v>32</v>
      </c>
      <c r="I299" s="1" t="s">
        <v>20</v>
      </c>
      <c r="J299" s="1">
        <v>69</v>
      </c>
      <c r="K299" s="1" t="s">
        <v>34</v>
      </c>
      <c r="L299" s="2">
        <v>46308</v>
      </c>
      <c r="M299" s="1">
        <v>15</v>
      </c>
      <c r="N299" s="1" t="s">
        <v>62</v>
      </c>
      <c r="O299" s="3" t="s">
        <v>51</v>
      </c>
    </row>
    <row r="300" spans="1:15" x14ac:dyDescent="0.3">
      <c r="A300" s="20">
        <v>46296.053414351853</v>
      </c>
      <c r="B300" s="21" t="s">
        <v>15</v>
      </c>
      <c r="C300" s="15">
        <v>28.632999999999999</v>
      </c>
      <c r="D300" s="1">
        <v>77.2196</v>
      </c>
      <c r="E300" s="1" t="s">
        <v>16</v>
      </c>
      <c r="F300" s="1" t="s">
        <v>48</v>
      </c>
      <c r="G300" s="1" t="s">
        <v>18</v>
      </c>
      <c r="H300" s="1" t="s">
        <v>19</v>
      </c>
      <c r="I300" s="1" t="s">
        <v>20</v>
      </c>
      <c r="J300" s="1">
        <v>27</v>
      </c>
      <c r="K300" s="1" t="s">
        <v>39</v>
      </c>
      <c r="L300" s="2">
        <v>46308</v>
      </c>
      <c r="M300" s="1">
        <v>14</v>
      </c>
      <c r="N300" s="1" t="s">
        <v>62</v>
      </c>
      <c r="O300" s="3" t="s">
        <v>51</v>
      </c>
    </row>
    <row r="301" spans="1:15" x14ac:dyDescent="0.3">
      <c r="A301" s="22">
        <v>46296.053298611114</v>
      </c>
      <c r="B301" s="23" t="s">
        <v>42</v>
      </c>
      <c r="C301" s="15">
        <v>28.6129</v>
      </c>
      <c r="D301" s="1">
        <v>77.229500000000002</v>
      </c>
      <c r="E301" s="1" t="s">
        <v>43</v>
      </c>
      <c r="F301" s="1" t="s">
        <v>52</v>
      </c>
      <c r="G301" s="1" t="s">
        <v>18</v>
      </c>
      <c r="H301" s="1" t="s">
        <v>61</v>
      </c>
      <c r="I301" s="1" t="s">
        <v>49</v>
      </c>
      <c r="J301" s="1">
        <v>35</v>
      </c>
      <c r="K301" s="1" t="s">
        <v>34</v>
      </c>
      <c r="L301" s="2">
        <v>46308</v>
      </c>
      <c r="M301" s="1">
        <v>13</v>
      </c>
      <c r="N301" s="1" t="s">
        <v>62</v>
      </c>
      <c r="O301" s="3" t="s">
        <v>51</v>
      </c>
    </row>
    <row r="302" spans="1:15" x14ac:dyDescent="0.3">
      <c r="A302" s="20">
        <v>46296.053182870368</v>
      </c>
      <c r="B302" s="21" t="s">
        <v>29</v>
      </c>
      <c r="C302" s="15">
        <v>28.5562</v>
      </c>
      <c r="D302" s="1">
        <v>77.099999999999994</v>
      </c>
      <c r="E302" s="1" t="s">
        <v>38</v>
      </c>
      <c r="F302" s="1" t="s">
        <v>17</v>
      </c>
      <c r="G302" s="1" t="s">
        <v>50</v>
      </c>
      <c r="H302" s="1" t="s">
        <v>32</v>
      </c>
      <c r="I302" s="1" t="s">
        <v>20</v>
      </c>
      <c r="J302" s="1">
        <v>33</v>
      </c>
      <c r="K302" s="1" t="s">
        <v>39</v>
      </c>
      <c r="L302" s="2">
        <v>46308</v>
      </c>
      <c r="M302" s="1">
        <v>13</v>
      </c>
      <c r="N302" s="1" t="s">
        <v>62</v>
      </c>
      <c r="O302" s="3" t="s">
        <v>51</v>
      </c>
    </row>
    <row r="303" spans="1:15" x14ac:dyDescent="0.3">
      <c r="A303" s="22">
        <v>46296.053067129629</v>
      </c>
      <c r="B303" s="23" t="s">
        <v>37</v>
      </c>
      <c r="C303" s="15">
        <v>28.5562</v>
      </c>
      <c r="D303" s="1">
        <v>77.099999999999994</v>
      </c>
      <c r="E303" s="1" t="s">
        <v>38</v>
      </c>
      <c r="F303" s="1" t="s">
        <v>44</v>
      </c>
      <c r="G303" s="1" t="s">
        <v>50</v>
      </c>
      <c r="H303" s="1" t="s">
        <v>27</v>
      </c>
      <c r="I303" s="1" t="s">
        <v>20</v>
      </c>
      <c r="J303" s="1">
        <v>56</v>
      </c>
      <c r="K303" s="1" t="s">
        <v>39</v>
      </c>
      <c r="L303" s="2">
        <v>46308</v>
      </c>
      <c r="M303" s="1">
        <v>11</v>
      </c>
      <c r="N303" s="1" t="s">
        <v>62</v>
      </c>
      <c r="O303" s="3" t="s">
        <v>57</v>
      </c>
    </row>
    <row r="304" spans="1:15" x14ac:dyDescent="0.3">
      <c r="A304" s="20">
        <v>46296.052951388891</v>
      </c>
      <c r="B304" s="21" t="s">
        <v>46</v>
      </c>
      <c r="C304" s="15">
        <v>28.567599999999999</v>
      </c>
      <c r="D304" s="1">
        <v>77.209599999999995</v>
      </c>
      <c r="E304" s="1" t="s">
        <v>25</v>
      </c>
      <c r="F304" s="1" t="s">
        <v>35</v>
      </c>
      <c r="G304" s="1" t="s">
        <v>18</v>
      </c>
      <c r="H304" s="1" t="s">
        <v>27</v>
      </c>
      <c r="I304" s="1" t="s">
        <v>56</v>
      </c>
      <c r="J304" s="1">
        <v>58</v>
      </c>
      <c r="K304" s="1" t="s">
        <v>21</v>
      </c>
      <c r="L304" s="2">
        <v>46308</v>
      </c>
      <c r="M304" s="1">
        <v>11</v>
      </c>
      <c r="N304" s="1" t="s">
        <v>62</v>
      </c>
      <c r="O304" s="3" t="s">
        <v>57</v>
      </c>
    </row>
    <row r="305" spans="1:15" x14ac:dyDescent="0.3">
      <c r="A305" s="22">
        <v>46296.052835648145</v>
      </c>
      <c r="B305" s="23" t="s">
        <v>15</v>
      </c>
      <c r="C305" s="15">
        <v>28.545300000000001</v>
      </c>
      <c r="D305" s="1">
        <v>77.192499999999995</v>
      </c>
      <c r="E305" s="1" t="s">
        <v>41</v>
      </c>
      <c r="F305" s="1" t="s">
        <v>52</v>
      </c>
      <c r="G305" s="1" t="s">
        <v>18</v>
      </c>
      <c r="H305" s="1" t="s">
        <v>32</v>
      </c>
      <c r="I305" s="1" t="s">
        <v>36</v>
      </c>
      <c r="J305" s="1">
        <v>75</v>
      </c>
      <c r="K305" s="1" t="s">
        <v>21</v>
      </c>
      <c r="L305" s="2">
        <v>46308</v>
      </c>
      <c r="M305" s="1">
        <v>10</v>
      </c>
      <c r="N305" s="1" t="s">
        <v>62</v>
      </c>
      <c r="O305" s="3" t="s">
        <v>57</v>
      </c>
    </row>
    <row r="306" spans="1:15" x14ac:dyDescent="0.3">
      <c r="A306" s="20">
        <v>46296.052719907406</v>
      </c>
      <c r="B306" s="21" t="s">
        <v>54</v>
      </c>
      <c r="C306" s="15">
        <v>28.656199999999998</v>
      </c>
      <c r="D306" s="1">
        <v>77.231499999999997</v>
      </c>
      <c r="E306" s="1" t="s">
        <v>55</v>
      </c>
      <c r="F306" s="1" t="s">
        <v>58</v>
      </c>
      <c r="G306" s="1" t="s">
        <v>50</v>
      </c>
      <c r="H306" s="1" t="s">
        <v>32</v>
      </c>
      <c r="I306" s="1" t="s">
        <v>20</v>
      </c>
      <c r="J306" s="1">
        <v>52</v>
      </c>
      <c r="K306" s="1" t="s">
        <v>39</v>
      </c>
      <c r="L306" s="2">
        <v>46308</v>
      </c>
      <c r="M306" s="1">
        <v>8</v>
      </c>
      <c r="N306" s="1" t="s">
        <v>62</v>
      </c>
      <c r="O306" s="3" t="s">
        <v>57</v>
      </c>
    </row>
    <row r="307" spans="1:15" x14ac:dyDescent="0.3">
      <c r="A307" s="22">
        <v>46296.052604166667</v>
      </c>
      <c r="B307" s="23" t="s">
        <v>29</v>
      </c>
      <c r="C307" s="15">
        <v>28.567599999999999</v>
      </c>
      <c r="D307" s="1">
        <v>77.209599999999995</v>
      </c>
      <c r="E307" s="1" t="s">
        <v>25</v>
      </c>
      <c r="F307" s="1" t="s">
        <v>58</v>
      </c>
      <c r="G307" s="1" t="s">
        <v>50</v>
      </c>
      <c r="H307" s="1" t="s">
        <v>19</v>
      </c>
      <c r="I307" s="1" t="s">
        <v>20</v>
      </c>
      <c r="J307" s="1">
        <v>69</v>
      </c>
      <c r="K307" s="1" t="s">
        <v>21</v>
      </c>
      <c r="L307" s="2">
        <v>46308</v>
      </c>
      <c r="M307" s="1">
        <v>5</v>
      </c>
      <c r="N307" s="1" t="s">
        <v>62</v>
      </c>
      <c r="O307" s="3" t="s">
        <v>23</v>
      </c>
    </row>
    <row r="308" spans="1:15" x14ac:dyDescent="0.3">
      <c r="A308" s="20">
        <v>46296.052488425928</v>
      </c>
      <c r="B308" s="21" t="s">
        <v>24</v>
      </c>
      <c r="C308" s="15">
        <v>28.5562</v>
      </c>
      <c r="D308" s="1">
        <v>77.099999999999994</v>
      </c>
      <c r="E308" s="1" t="s">
        <v>38</v>
      </c>
      <c r="F308" s="1" t="s">
        <v>48</v>
      </c>
      <c r="G308" s="1" t="s">
        <v>18</v>
      </c>
      <c r="H308" s="1" t="s">
        <v>32</v>
      </c>
      <c r="I308" s="1" t="s">
        <v>20</v>
      </c>
      <c r="J308" s="1">
        <v>64</v>
      </c>
      <c r="K308" s="1" t="s">
        <v>39</v>
      </c>
      <c r="L308" s="2">
        <v>46308</v>
      </c>
      <c r="M308" s="1">
        <v>1</v>
      </c>
      <c r="N308" s="1" t="s">
        <v>62</v>
      </c>
      <c r="O308" s="3" t="s">
        <v>23</v>
      </c>
    </row>
    <row r="309" spans="1:15" x14ac:dyDescent="0.3">
      <c r="A309" s="22">
        <v>46296.052372685182</v>
      </c>
      <c r="B309" s="23" t="s">
        <v>46</v>
      </c>
      <c r="C309" s="15">
        <v>28.6328</v>
      </c>
      <c r="D309" s="1">
        <v>77.219499999999996</v>
      </c>
      <c r="E309" s="1" t="s">
        <v>16</v>
      </c>
      <c r="F309" s="1" t="s">
        <v>52</v>
      </c>
      <c r="G309" s="1" t="s">
        <v>18</v>
      </c>
      <c r="H309" s="1" t="s">
        <v>27</v>
      </c>
      <c r="I309" s="1" t="s">
        <v>56</v>
      </c>
      <c r="J309" s="1">
        <v>45</v>
      </c>
      <c r="K309" s="1" t="s">
        <v>34</v>
      </c>
      <c r="L309" s="2">
        <v>46308</v>
      </c>
      <c r="M309" s="1">
        <v>0</v>
      </c>
      <c r="N309" s="1" t="s">
        <v>62</v>
      </c>
      <c r="O309" s="3" t="s">
        <v>23</v>
      </c>
    </row>
    <row r="310" spans="1:15" x14ac:dyDescent="0.3">
      <c r="A310" s="20">
        <v>46296.052256944444</v>
      </c>
      <c r="B310" s="21" t="s">
        <v>42</v>
      </c>
      <c r="C310" s="15">
        <v>28.656199999999998</v>
      </c>
      <c r="D310" s="1">
        <v>77.231499999999997</v>
      </c>
      <c r="E310" s="1" t="s">
        <v>55</v>
      </c>
      <c r="F310" s="1" t="s">
        <v>52</v>
      </c>
      <c r="G310" s="1" t="s">
        <v>18</v>
      </c>
      <c r="H310" s="1" t="s">
        <v>19</v>
      </c>
      <c r="I310" s="1" t="s">
        <v>20</v>
      </c>
      <c r="J310" s="1">
        <v>23</v>
      </c>
      <c r="K310" s="1" t="s">
        <v>39</v>
      </c>
      <c r="L310" s="2">
        <v>46307</v>
      </c>
      <c r="M310" s="1">
        <v>23</v>
      </c>
      <c r="N310" s="1" t="s">
        <v>63</v>
      </c>
      <c r="O310" s="3" t="s">
        <v>23</v>
      </c>
    </row>
    <row r="311" spans="1:15" x14ac:dyDescent="0.3">
      <c r="A311" s="22">
        <v>46296.052141203705</v>
      </c>
      <c r="B311" s="23" t="s">
        <v>42</v>
      </c>
      <c r="C311" s="15">
        <v>28.545300000000001</v>
      </c>
      <c r="D311" s="1">
        <v>77.192499999999995</v>
      </c>
      <c r="E311" s="1" t="s">
        <v>41</v>
      </c>
      <c r="F311" s="1" t="s">
        <v>30</v>
      </c>
      <c r="G311" s="1" t="s">
        <v>50</v>
      </c>
      <c r="H311" s="1" t="s">
        <v>32</v>
      </c>
      <c r="I311" s="1" t="s">
        <v>56</v>
      </c>
      <c r="J311" s="1">
        <v>48</v>
      </c>
      <c r="K311" s="1" t="s">
        <v>34</v>
      </c>
      <c r="L311" s="2">
        <v>46307</v>
      </c>
      <c r="M311" s="1">
        <v>22</v>
      </c>
      <c r="N311" s="1" t="s">
        <v>63</v>
      </c>
      <c r="O311" s="3" t="s">
        <v>23</v>
      </c>
    </row>
    <row r="312" spans="1:15" x14ac:dyDescent="0.3">
      <c r="A312" s="20">
        <v>46296.052025462966</v>
      </c>
      <c r="B312" s="21" t="s">
        <v>15</v>
      </c>
      <c r="C312" s="15">
        <v>28.571400000000001</v>
      </c>
      <c r="D312" s="1">
        <v>77.281300000000002</v>
      </c>
      <c r="E312" s="1" t="s">
        <v>47</v>
      </c>
      <c r="F312" s="1" t="s">
        <v>48</v>
      </c>
      <c r="G312" s="1" t="s">
        <v>50</v>
      </c>
      <c r="H312" s="1" t="s">
        <v>32</v>
      </c>
      <c r="I312" s="1" t="s">
        <v>20</v>
      </c>
      <c r="J312" s="1">
        <v>27</v>
      </c>
      <c r="K312" s="1" t="s">
        <v>39</v>
      </c>
      <c r="L312" s="2">
        <v>46307</v>
      </c>
      <c r="M312" s="1">
        <v>21</v>
      </c>
      <c r="N312" s="1" t="s">
        <v>63</v>
      </c>
      <c r="O312" s="3" t="s">
        <v>23</v>
      </c>
    </row>
    <row r="313" spans="1:15" x14ac:dyDescent="0.3">
      <c r="A313" s="22">
        <v>46296.05190972222</v>
      </c>
      <c r="B313" s="23" t="s">
        <v>29</v>
      </c>
      <c r="C313" s="15">
        <v>28.545300000000001</v>
      </c>
      <c r="D313" s="1">
        <v>77.192499999999995</v>
      </c>
      <c r="E313" s="1" t="s">
        <v>41</v>
      </c>
      <c r="F313" s="1" t="s">
        <v>48</v>
      </c>
      <c r="G313" s="1" t="s">
        <v>45</v>
      </c>
      <c r="H313" s="1" t="s">
        <v>32</v>
      </c>
      <c r="I313" s="1" t="s">
        <v>20</v>
      </c>
      <c r="J313" s="1">
        <v>26</v>
      </c>
      <c r="K313" s="1" t="s">
        <v>39</v>
      </c>
      <c r="L313" s="2">
        <v>46307</v>
      </c>
      <c r="M313" s="1">
        <v>20</v>
      </c>
      <c r="N313" s="1" t="s">
        <v>63</v>
      </c>
      <c r="O313" s="3" t="s">
        <v>28</v>
      </c>
    </row>
    <row r="314" spans="1:15" x14ac:dyDescent="0.3">
      <c r="A314" s="20">
        <v>46296.051793981482</v>
      </c>
      <c r="B314" s="21" t="s">
        <v>54</v>
      </c>
      <c r="C314" s="15">
        <v>28.545300000000001</v>
      </c>
      <c r="D314" s="1">
        <v>77.192499999999995</v>
      </c>
      <c r="E314" s="1" t="s">
        <v>41</v>
      </c>
      <c r="F314" s="1" t="s">
        <v>17</v>
      </c>
      <c r="G314" s="1" t="s">
        <v>50</v>
      </c>
      <c r="H314" s="1" t="s">
        <v>32</v>
      </c>
      <c r="I314" s="1" t="s">
        <v>20</v>
      </c>
      <c r="J314" s="1">
        <v>73</v>
      </c>
      <c r="K314" s="1" t="s">
        <v>39</v>
      </c>
      <c r="L314" s="2">
        <v>46307</v>
      </c>
      <c r="M314" s="1">
        <v>20</v>
      </c>
      <c r="N314" s="1" t="s">
        <v>63</v>
      </c>
      <c r="O314" s="3" t="s">
        <v>28</v>
      </c>
    </row>
    <row r="315" spans="1:15" x14ac:dyDescent="0.3">
      <c r="A315" s="22">
        <v>46296.051678240743</v>
      </c>
      <c r="B315" s="23" t="s">
        <v>37</v>
      </c>
      <c r="C315" s="15">
        <v>28.567599999999999</v>
      </c>
      <c r="D315" s="1">
        <v>77.209599999999995</v>
      </c>
      <c r="E315" s="1" t="s">
        <v>25</v>
      </c>
      <c r="F315" s="1" t="s">
        <v>26</v>
      </c>
      <c r="G315" s="1" t="s">
        <v>45</v>
      </c>
      <c r="H315" s="1" t="s">
        <v>27</v>
      </c>
      <c r="I315" s="1" t="s">
        <v>20</v>
      </c>
      <c r="J315" s="1">
        <v>22</v>
      </c>
      <c r="K315" s="1" t="s">
        <v>34</v>
      </c>
      <c r="L315" s="2">
        <v>46307</v>
      </c>
      <c r="M315" s="1">
        <v>15</v>
      </c>
      <c r="N315" s="1" t="s">
        <v>63</v>
      </c>
      <c r="O315" s="3" t="s">
        <v>51</v>
      </c>
    </row>
    <row r="316" spans="1:15" x14ac:dyDescent="0.3">
      <c r="A316" s="20">
        <v>46296.051562499997</v>
      </c>
      <c r="B316" s="21" t="s">
        <v>29</v>
      </c>
      <c r="C316" s="15">
        <v>28.5562</v>
      </c>
      <c r="D316" s="1">
        <v>77.099999999999994</v>
      </c>
      <c r="E316" s="1" t="s">
        <v>38</v>
      </c>
      <c r="F316" s="1" t="s">
        <v>26</v>
      </c>
      <c r="G316" s="1" t="s">
        <v>45</v>
      </c>
      <c r="H316" s="1" t="s">
        <v>19</v>
      </c>
      <c r="I316" s="1" t="s">
        <v>20</v>
      </c>
      <c r="J316" s="1">
        <v>45</v>
      </c>
      <c r="K316" s="1" t="s">
        <v>21</v>
      </c>
      <c r="L316" s="2">
        <v>46307</v>
      </c>
      <c r="M316" s="1">
        <v>13</v>
      </c>
      <c r="N316" s="1" t="s">
        <v>63</v>
      </c>
      <c r="O316" s="3" t="s">
        <v>51</v>
      </c>
    </row>
    <row r="317" spans="1:15" x14ac:dyDescent="0.3">
      <c r="A317" s="22">
        <v>46296.051446759258</v>
      </c>
      <c r="B317" s="23" t="s">
        <v>24</v>
      </c>
      <c r="C317" s="15">
        <v>28.6129</v>
      </c>
      <c r="D317" s="1">
        <v>77.229500000000002</v>
      </c>
      <c r="E317" s="1" t="s">
        <v>43</v>
      </c>
      <c r="F317" s="1" t="s">
        <v>44</v>
      </c>
      <c r="G317" s="1" t="s">
        <v>50</v>
      </c>
      <c r="H317" s="1" t="s">
        <v>19</v>
      </c>
      <c r="I317" s="1" t="s">
        <v>33</v>
      </c>
      <c r="J317" s="1">
        <v>57</v>
      </c>
      <c r="K317" s="1" t="s">
        <v>39</v>
      </c>
      <c r="L317" s="2">
        <v>46307</v>
      </c>
      <c r="M317" s="1">
        <v>9</v>
      </c>
      <c r="N317" s="1" t="s">
        <v>63</v>
      </c>
      <c r="O317" s="3" t="s">
        <v>57</v>
      </c>
    </row>
    <row r="318" spans="1:15" x14ac:dyDescent="0.3">
      <c r="A318" s="20">
        <v>46296.05133101852</v>
      </c>
      <c r="B318" s="21" t="s">
        <v>29</v>
      </c>
      <c r="C318" s="15">
        <v>28.632999999999999</v>
      </c>
      <c r="D318" s="1">
        <v>77.2196</v>
      </c>
      <c r="E318" s="1" t="s">
        <v>16</v>
      </c>
      <c r="F318" s="1" t="s">
        <v>30</v>
      </c>
      <c r="G318" s="1" t="s">
        <v>31</v>
      </c>
      <c r="H318" s="1" t="s">
        <v>27</v>
      </c>
      <c r="I318" s="1" t="s">
        <v>33</v>
      </c>
      <c r="J318" s="1">
        <v>41</v>
      </c>
      <c r="K318" s="1" t="s">
        <v>21</v>
      </c>
      <c r="L318" s="2">
        <v>46307</v>
      </c>
      <c r="M318" s="1">
        <v>8</v>
      </c>
      <c r="N318" s="1" t="s">
        <v>63</v>
      </c>
      <c r="O318" s="3" t="s">
        <v>57</v>
      </c>
    </row>
    <row r="319" spans="1:15" x14ac:dyDescent="0.3">
      <c r="A319" s="22">
        <v>46296.051215277781</v>
      </c>
      <c r="B319" s="23" t="s">
        <v>46</v>
      </c>
      <c r="C319" s="15">
        <v>28.5562</v>
      </c>
      <c r="D319" s="1">
        <v>77.099999999999994</v>
      </c>
      <c r="E319" s="1" t="s">
        <v>38</v>
      </c>
      <c r="F319" s="1" t="s">
        <v>58</v>
      </c>
      <c r="G319" s="1" t="s">
        <v>50</v>
      </c>
      <c r="H319" s="1" t="s">
        <v>61</v>
      </c>
      <c r="I319" s="1" t="s">
        <v>20</v>
      </c>
      <c r="J319" s="1">
        <v>64</v>
      </c>
      <c r="K319" s="1" t="s">
        <v>21</v>
      </c>
      <c r="L319" s="2">
        <v>46307</v>
      </c>
      <c r="M319" s="1">
        <v>7</v>
      </c>
      <c r="N319" s="1" t="s">
        <v>63</v>
      </c>
      <c r="O319" s="3" t="s">
        <v>57</v>
      </c>
    </row>
    <row r="320" spans="1:15" x14ac:dyDescent="0.3">
      <c r="A320" s="20">
        <v>46296.051099537035</v>
      </c>
      <c r="B320" s="21" t="s">
        <v>42</v>
      </c>
      <c r="C320" s="15">
        <v>28.545300000000001</v>
      </c>
      <c r="D320" s="1">
        <v>77.192499999999995</v>
      </c>
      <c r="E320" s="1" t="s">
        <v>41</v>
      </c>
      <c r="F320" s="1" t="s">
        <v>52</v>
      </c>
      <c r="G320" s="1" t="s">
        <v>18</v>
      </c>
      <c r="H320" s="1" t="s">
        <v>19</v>
      </c>
      <c r="I320" s="1" t="s">
        <v>33</v>
      </c>
      <c r="J320" s="1">
        <v>58</v>
      </c>
      <c r="K320" s="1" t="s">
        <v>21</v>
      </c>
      <c r="L320" s="2">
        <v>46307</v>
      </c>
      <c r="M320" s="1">
        <v>6</v>
      </c>
      <c r="N320" s="1" t="s">
        <v>63</v>
      </c>
      <c r="O320" s="3" t="s">
        <v>57</v>
      </c>
    </row>
    <row r="321" spans="1:15" x14ac:dyDescent="0.3">
      <c r="A321" s="22">
        <v>46296.050983796296</v>
      </c>
      <c r="B321" s="23" t="s">
        <v>29</v>
      </c>
      <c r="C321" s="15">
        <v>28.656199999999998</v>
      </c>
      <c r="D321" s="1">
        <v>77.231499999999997</v>
      </c>
      <c r="E321" s="1" t="s">
        <v>55</v>
      </c>
      <c r="F321" s="1" t="s">
        <v>53</v>
      </c>
      <c r="G321" s="1" t="s">
        <v>18</v>
      </c>
      <c r="H321" s="1" t="s">
        <v>61</v>
      </c>
      <c r="I321" s="1" t="s">
        <v>49</v>
      </c>
      <c r="J321" s="1">
        <v>65</v>
      </c>
      <c r="K321" s="1" t="s">
        <v>34</v>
      </c>
      <c r="L321" s="2">
        <v>46307</v>
      </c>
      <c r="M321" s="1">
        <v>2</v>
      </c>
      <c r="N321" s="1" t="s">
        <v>63</v>
      </c>
      <c r="O321" s="3" t="s">
        <v>23</v>
      </c>
    </row>
    <row r="322" spans="1:15" x14ac:dyDescent="0.3">
      <c r="A322" s="20">
        <v>46296.050868055558</v>
      </c>
      <c r="B322" s="21" t="s">
        <v>40</v>
      </c>
      <c r="C322" s="15">
        <v>28.5562</v>
      </c>
      <c r="D322" s="1">
        <v>77.099999999999994</v>
      </c>
      <c r="E322" s="1" t="s">
        <v>38</v>
      </c>
      <c r="F322" s="1" t="s">
        <v>48</v>
      </c>
      <c r="G322" s="1" t="s">
        <v>18</v>
      </c>
      <c r="H322" s="1" t="s">
        <v>27</v>
      </c>
      <c r="I322" s="1" t="s">
        <v>20</v>
      </c>
      <c r="J322" s="1">
        <v>40</v>
      </c>
      <c r="K322" s="1" t="s">
        <v>21</v>
      </c>
      <c r="L322" s="2">
        <v>46307</v>
      </c>
      <c r="M322" s="1">
        <v>1</v>
      </c>
      <c r="N322" s="1" t="s">
        <v>63</v>
      </c>
      <c r="O322" s="3" t="s">
        <v>23</v>
      </c>
    </row>
    <row r="323" spans="1:15" x14ac:dyDescent="0.3">
      <c r="A323" s="22">
        <v>46296.050752314812</v>
      </c>
      <c r="B323" s="23" t="s">
        <v>29</v>
      </c>
      <c r="C323" s="15">
        <v>28.656199999999998</v>
      </c>
      <c r="D323" s="1">
        <v>77.231499999999997</v>
      </c>
      <c r="E323" s="1" t="s">
        <v>55</v>
      </c>
      <c r="F323" s="1" t="s">
        <v>44</v>
      </c>
      <c r="G323" s="1" t="s">
        <v>18</v>
      </c>
      <c r="H323" s="1" t="s">
        <v>61</v>
      </c>
      <c r="I323" s="1" t="s">
        <v>49</v>
      </c>
      <c r="J323" s="1">
        <v>38</v>
      </c>
      <c r="K323" s="1" t="s">
        <v>21</v>
      </c>
      <c r="L323" s="2">
        <v>46307</v>
      </c>
      <c r="M323" s="1">
        <v>0</v>
      </c>
      <c r="N323" s="1" t="s">
        <v>63</v>
      </c>
      <c r="O323" s="3" t="s">
        <v>23</v>
      </c>
    </row>
    <row r="324" spans="1:15" x14ac:dyDescent="0.3">
      <c r="A324" s="20">
        <v>46296.050636574073</v>
      </c>
      <c r="B324" s="21" t="s">
        <v>46</v>
      </c>
      <c r="C324" s="15">
        <v>28.567599999999999</v>
      </c>
      <c r="D324" s="1">
        <v>77.209599999999995</v>
      </c>
      <c r="E324" s="1" t="s">
        <v>25</v>
      </c>
      <c r="F324" s="1" t="s">
        <v>44</v>
      </c>
      <c r="G324" s="1" t="s">
        <v>50</v>
      </c>
      <c r="H324" s="1" t="s">
        <v>32</v>
      </c>
      <c r="I324" s="1" t="s">
        <v>36</v>
      </c>
      <c r="J324" s="1">
        <v>38</v>
      </c>
      <c r="K324" s="1" t="s">
        <v>21</v>
      </c>
      <c r="L324" s="2">
        <v>46307</v>
      </c>
      <c r="M324" s="1">
        <v>0</v>
      </c>
      <c r="N324" s="1" t="s">
        <v>63</v>
      </c>
      <c r="O324" s="3" t="s">
        <v>23</v>
      </c>
    </row>
    <row r="325" spans="1:15" x14ac:dyDescent="0.3">
      <c r="A325" s="22">
        <v>46296.050520833334</v>
      </c>
      <c r="B325" s="23" t="s">
        <v>46</v>
      </c>
      <c r="C325" s="15">
        <v>28.6129</v>
      </c>
      <c r="D325" s="1">
        <v>77.229500000000002</v>
      </c>
      <c r="E325" s="1" t="s">
        <v>43</v>
      </c>
      <c r="F325" s="1" t="s">
        <v>44</v>
      </c>
      <c r="G325" s="1" t="s">
        <v>18</v>
      </c>
      <c r="H325" s="1" t="s">
        <v>27</v>
      </c>
      <c r="I325" s="1" t="s">
        <v>20</v>
      </c>
      <c r="J325" s="1">
        <v>41</v>
      </c>
      <c r="K325" s="1" t="s">
        <v>21</v>
      </c>
      <c r="L325" s="2">
        <v>46306</v>
      </c>
      <c r="M325" s="1">
        <v>23</v>
      </c>
      <c r="N325" s="1" t="s">
        <v>64</v>
      </c>
      <c r="O325" s="3" t="s">
        <v>23</v>
      </c>
    </row>
    <row r="326" spans="1:15" x14ac:dyDescent="0.3">
      <c r="A326" s="20">
        <v>46296.050405092596</v>
      </c>
      <c r="B326" s="21" t="s">
        <v>37</v>
      </c>
      <c r="C326" s="15">
        <v>28.5562</v>
      </c>
      <c r="D326" s="1">
        <v>77.099999999999994</v>
      </c>
      <c r="E326" s="1" t="s">
        <v>38</v>
      </c>
      <c r="F326" s="1" t="s">
        <v>17</v>
      </c>
      <c r="G326" s="1" t="s">
        <v>50</v>
      </c>
      <c r="H326" s="1" t="s">
        <v>19</v>
      </c>
      <c r="I326" s="1" t="s">
        <v>20</v>
      </c>
      <c r="J326" s="1">
        <v>57</v>
      </c>
      <c r="K326" s="1" t="s">
        <v>39</v>
      </c>
      <c r="L326" s="2">
        <v>46306</v>
      </c>
      <c r="M326" s="1">
        <v>20</v>
      </c>
      <c r="N326" s="1" t="s">
        <v>64</v>
      </c>
      <c r="O326" s="3" t="s">
        <v>28</v>
      </c>
    </row>
    <row r="327" spans="1:15" x14ac:dyDescent="0.3">
      <c r="A327" s="22">
        <v>46296.05028935185</v>
      </c>
      <c r="B327" s="23" t="s">
        <v>37</v>
      </c>
      <c r="C327" s="15">
        <v>28.6129</v>
      </c>
      <c r="D327" s="1">
        <v>77.229500000000002</v>
      </c>
      <c r="E327" s="1" t="s">
        <v>43</v>
      </c>
      <c r="F327" s="1" t="s">
        <v>44</v>
      </c>
      <c r="G327" s="1" t="s">
        <v>50</v>
      </c>
      <c r="H327" s="1" t="s">
        <v>61</v>
      </c>
      <c r="I327" s="1" t="s">
        <v>33</v>
      </c>
      <c r="J327" s="1">
        <v>19</v>
      </c>
      <c r="K327" s="1" t="s">
        <v>39</v>
      </c>
      <c r="L327" s="2">
        <v>46306</v>
      </c>
      <c r="M327" s="1">
        <v>19</v>
      </c>
      <c r="N327" s="1" t="s">
        <v>64</v>
      </c>
      <c r="O327" s="3" t="s">
        <v>28</v>
      </c>
    </row>
    <row r="328" spans="1:15" x14ac:dyDescent="0.3">
      <c r="A328" s="20">
        <v>46296.050173611111</v>
      </c>
      <c r="B328" s="21" t="s">
        <v>54</v>
      </c>
      <c r="C328" s="15">
        <v>28.567599999999999</v>
      </c>
      <c r="D328" s="1">
        <v>77.209599999999995</v>
      </c>
      <c r="E328" s="1" t="s">
        <v>25</v>
      </c>
      <c r="F328" s="1" t="s">
        <v>26</v>
      </c>
      <c r="G328" s="1" t="s">
        <v>18</v>
      </c>
      <c r="H328" s="1" t="s">
        <v>19</v>
      </c>
      <c r="I328" s="1" t="s">
        <v>20</v>
      </c>
      <c r="J328" s="1">
        <v>44</v>
      </c>
      <c r="K328" s="1" t="s">
        <v>34</v>
      </c>
      <c r="L328" s="2">
        <v>46306</v>
      </c>
      <c r="M328" s="1">
        <v>18</v>
      </c>
      <c r="N328" s="1" t="s">
        <v>64</v>
      </c>
      <c r="O328" s="3" t="s">
        <v>28</v>
      </c>
    </row>
    <row r="329" spans="1:15" x14ac:dyDescent="0.3">
      <c r="A329" s="22">
        <v>46296.050057870372</v>
      </c>
      <c r="B329" s="23" t="s">
        <v>29</v>
      </c>
      <c r="C329" s="15">
        <v>28.545300000000001</v>
      </c>
      <c r="D329" s="1">
        <v>77.192499999999995</v>
      </c>
      <c r="E329" s="1" t="s">
        <v>41</v>
      </c>
      <c r="F329" s="1" t="s">
        <v>26</v>
      </c>
      <c r="G329" s="1" t="s">
        <v>45</v>
      </c>
      <c r="H329" s="1" t="s">
        <v>19</v>
      </c>
      <c r="I329" s="1" t="s">
        <v>20</v>
      </c>
      <c r="J329" s="1">
        <v>54</v>
      </c>
      <c r="K329" s="1" t="s">
        <v>39</v>
      </c>
      <c r="L329" s="2">
        <v>46306</v>
      </c>
      <c r="M329" s="1">
        <v>16</v>
      </c>
      <c r="N329" s="1" t="s">
        <v>64</v>
      </c>
      <c r="O329" s="3" t="s">
        <v>51</v>
      </c>
    </row>
    <row r="330" spans="1:15" x14ac:dyDescent="0.3">
      <c r="A330" s="20">
        <v>46296.049942129626</v>
      </c>
      <c r="B330" s="21" t="s">
        <v>29</v>
      </c>
      <c r="C330" s="15">
        <v>28.656199999999998</v>
      </c>
      <c r="D330" s="1">
        <v>77.231499999999997</v>
      </c>
      <c r="E330" s="1" t="s">
        <v>55</v>
      </c>
      <c r="F330" s="1" t="s">
        <v>17</v>
      </c>
      <c r="G330" s="1" t="s">
        <v>50</v>
      </c>
      <c r="H330" s="1" t="s">
        <v>19</v>
      </c>
      <c r="I330" s="1" t="s">
        <v>20</v>
      </c>
      <c r="J330" s="1">
        <v>50</v>
      </c>
      <c r="K330" s="1" t="s">
        <v>21</v>
      </c>
      <c r="L330" s="2">
        <v>46306</v>
      </c>
      <c r="M330" s="1">
        <v>15</v>
      </c>
      <c r="N330" s="1" t="s">
        <v>64</v>
      </c>
      <c r="O330" s="3" t="s">
        <v>51</v>
      </c>
    </row>
    <row r="331" spans="1:15" x14ac:dyDescent="0.3">
      <c r="A331" s="22">
        <v>46296.049826388888</v>
      </c>
      <c r="B331" s="23" t="s">
        <v>24</v>
      </c>
      <c r="C331" s="15">
        <v>28.656199999999998</v>
      </c>
      <c r="D331" s="1">
        <v>77.231499999999997</v>
      </c>
      <c r="E331" s="1" t="s">
        <v>55</v>
      </c>
      <c r="F331" s="1" t="s">
        <v>17</v>
      </c>
      <c r="G331" s="1" t="s">
        <v>31</v>
      </c>
      <c r="H331" s="1" t="s">
        <v>27</v>
      </c>
      <c r="I331" s="1" t="s">
        <v>20</v>
      </c>
      <c r="J331" s="1">
        <v>75</v>
      </c>
      <c r="K331" s="1" t="s">
        <v>34</v>
      </c>
      <c r="L331" s="2">
        <v>46306</v>
      </c>
      <c r="M331" s="1">
        <v>15</v>
      </c>
      <c r="N331" s="1" t="s">
        <v>64</v>
      </c>
      <c r="O331" s="3" t="s">
        <v>51</v>
      </c>
    </row>
    <row r="332" spans="1:15" x14ac:dyDescent="0.3">
      <c r="A332" s="20">
        <v>46296.049710648149</v>
      </c>
      <c r="B332" s="21" t="s">
        <v>42</v>
      </c>
      <c r="C332" s="15">
        <v>28.545300000000001</v>
      </c>
      <c r="D332" s="1">
        <v>77.192499999999995</v>
      </c>
      <c r="E332" s="1" t="s">
        <v>41</v>
      </c>
      <c r="F332" s="1" t="s">
        <v>44</v>
      </c>
      <c r="G332" s="1" t="s">
        <v>18</v>
      </c>
      <c r="H332" s="1" t="s">
        <v>27</v>
      </c>
      <c r="I332" s="1" t="s">
        <v>33</v>
      </c>
      <c r="J332" s="1">
        <v>34</v>
      </c>
      <c r="K332" s="1" t="s">
        <v>21</v>
      </c>
      <c r="L332" s="2">
        <v>46306</v>
      </c>
      <c r="M332" s="1">
        <v>11</v>
      </c>
      <c r="N332" s="1" t="s">
        <v>64</v>
      </c>
      <c r="O332" s="3" t="s">
        <v>57</v>
      </c>
    </row>
    <row r="333" spans="1:15" x14ac:dyDescent="0.3">
      <c r="A333" s="22">
        <v>46296.04959490741</v>
      </c>
      <c r="B333" s="23" t="s">
        <v>40</v>
      </c>
      <c r="C333" s="15">
        <v>28.5562</v>
      </c>
      <c r="D333" s="1">
        <v>77.099999999999994</v>
      </c>
      <c r="E333" s="1" t="s">
        <v>38</v>
      </c>
      <c r="F333" s="1" t="s">
        <v>53</v>
      </c>
      <c r="G333" s="1" t="s">
        <v>45</v>
      </c>
      <c r="H333" s="1" t="s">
        <v>32</v>
      </c>
      <c r="I333" s="1" t="s">
        <v>20</v>
      </c>
      <c r="J333" s="1">
        <v>20</v>
      </c>
      <c r="K333" s="1" t="s">
        <v>39</v>
      </c>
      <c r="L333" s="2">
        <v>46306</v>
      </c>
      <c r="M333" s="1">
        <v>10</v>
      </c>
      <c r="N333" s="1" t="s">
        <v>64</v>
      </c>
      <c r="O333" s="3" t="s">
        <v>57</v>
      </c>
    </row>
    <row r="334" spans="1:15" x14ac:dyDescent="0.3">
      <c r="A334" s="20">
        <v>46296.049479166664</v>
      </c>
      <c r="B334" s="21" t="s">
        <v>54</v>
      </c>
      <c r="C334" s="15">
        <v>28.632999999999999</v>
      </c>
      <c r="D334" s="1">
        <v>77.2196</v>
      </c>
      <c r="E334" s="1" t="s">
        <v>16</v>
      </c>
      <c r="F334" s="1" t="s">
        <v>58</v>
      </c>
      <c r="G334" s="1" t="s">
        <v>50</v>
      </c>
      <c r="H334" s="1" t="s">
        <v>19</v>
      </c>
      <c r="I334" s="1" t="s">
        <v>20</v>
      </c>
      <c r="J334" s="1">
        <v>33</v>
      </c>
      <c r="K334" s="1" t="s">
        <v>21</v>
      </c>
      <c r="L334" s="2">
        <v>46306</v>
      </c>
      <c r="M334" s="1">
        <v>10</v>
      </c>
      <c r="N334" s="1" t="s">
        <v>64</v>
      </c>
      <c r="O334" s="3" t="s">
        <v>57</v>
      </c>
    </row>
    <row r="335" spans="1:15" x14ac:dyDescent="0.3">
      <c r="A335" s="22">
        <v>46296.049363425926</v>
      </c>
      <c r="B335" s="23" t="s">
        <v>40</v>
      </c>
      <c r="C335" s="15">
        <v>28.6129</v>
      </c>
      <c r="D335" s="1">
        <v>77.229500000000002</v>
      </c>
      <c r="E335" s="1" t="s">
        <v>43</v>
      </c>
      <c r="F335" s="1" t="s">
        <v>52</v>
      </c>
      <c r="G335" s="1" t="s">
        <v>18</v>
      </c>
      <c r="H335" s="1" t="s">
        <v>61</v>
      </c>
      <c r="I335" s="1" t="s">
        <v>33</v>
      </c>
      <c r="J335" s="1">
        <v>54</v>
      </c>
      <c r="K335" s="1" t="s">
        <v>34</v>
      </c>
      <c r="L335" s="2">
        <v>46306</v>
      </c>
      <c r="M335" s="1">
        <v>10</v>
      </c>
      <c r="N335" s="1" t="s">
        <v>64</v>
      </c>
      <c r="O335" s="3" t="s">
        <v>57</v>
      </c>
    </row>
    <row r="336" spans="1:15" x14ac:dyDescent="0.3">
      <c r="A336" s="20">
        <v>46296.049247685187</v>
      </c>
      <c r="B336" s="21" t="s">
        <v>29</v>
      </c>
      <c r="C336" s="15">
        <v>28.6129</v>
      </c>
      <c r="D336" s="1">
        <v>77.229500000000002</v>
      </c>
      <c r="E336" s="1" t="s">
        <v>43</v>
      </c>
      <c r="F336" s="1" t="s">
        <v>53</v>
      </c>
      <c r="G336" s="1" t="s">
        <v>45</v>
      </c>
      <c r="H336" s="1" t="s">
        <v>27</v>
      </c>
      <c r="I336" s="1" t="s">
        <v>56</v>
      </c>
      <c r="J336" s="1">
        <v>20</v>
      </c>
      <c r="K336" s="1" t="s">
        <v>21</v>
      </c>
      <c r="L336" s="2">
        <v>46306</v>
      </c>
      <c r="M336" s="1">
        <v>9</v>
      </c>
      <c r="N336" s="1" t="s">
        <v>64</v>
      </c>
      <c r="O336" s="3" t="s">
        <v>57</v>
      </c>
    </row>
    <row r="337" spans="1:15" x14ac:dyDescent="0.3">
      <c r="A337" s="22">
        <v>46296.049131944441</v>
      </c>
      <c r="B337" s="23" t="s">
        <v>15</v>
      </c>
      <c r="C337" s="15">
        <v>28.6129</v>
      </c>
      <c r="D337" s="1">
        <v>77.229500000000002</v>
      </c>
      <c r="E337" s="1" t="s">
        <v>43</v>
      </c>
      <c r="F337" s="1" t="s">
        <v>17</v>
      </c>
      <c r="G337" s="1" t="s">
        <v>50</v>
      </c>
      <c r="H337" s="1" t="s">
        <v>27</v>
      </c>
      <c r="I337" s="1" t="s">
        <v>20</v>
      </c>
      <c r="J337" s="1">
        <v>38</v>
      </c>
      <c r="K337" s="1" t="s">
        <v>21</v>
      </c>
      <c r="L337" s="2">
        <v>46306</v>
      </c>
      <c r="M337" s="1">
        <v>8</v>
      </c>
      <c r="N337" s="1" t="s">
        <v>64</v>
      </c>
      <c r="O337" s="3" t="s">
        <v>57</v>
      </c>
    </row>
    <row r="338" spans="1:15" x14ac:dyDescent="0.3">
      <c r="A338" s="20">
        <v>46296.049016203702</v>
      </c>
      <c r="B338" s="21" t="s">
        <v>24</v>
      </c>
      <c r="C338" s="15">
        <v>28.6328</v>
      </c>
      <c r="D338" s="1">
        <v>77.219499999999996</v>
      </c>
      <c r="E338" s="1" t="s">
        <v>16</v>
      </c>
      <c r="F338" s="1" t="s">
        <v>26</v>
      </c>
      <c r="G338" s="1" t="s">
        <v>45</v>
      </c>
      <c r="H338" s="1" t="s">
        <v>27</v>
      </c>
      <c r="I338" s="1" t="s">
        <v>20</v>
      </c>
      <c r="J338" s="1">
        <v>50</v>
      </c>
      <c r="K338" s="1" t="s">
        <v>39</v>
      </c>
      <c r="L338" s="2">
        <v>46306</v>
      </c>
      <c r="M338" s="1">
        <v>7</v>
      </c>
      <c r="N338" s="1" t="s">
        <v>64</v>
      </c>
      <c r="O338" s="3" t="s">
        <v>57</v>
      </c>
    </row>
    <row r="339" spans="1:15" x14ac:dyDescent="0.3">
      <c r="A339" s="22">
        <v>46296.048900462964</v>
      </c>
      <c r="B339" s="23" t="s">
        <v>46</v>
      </c>
      <c r="C339" s="15">
        <v>28.6328</v>
      </c>
      <c r="D339" s="1">
        <v>77.219499999999996</v>
      </c>
      <c r="E339" s="1" t="s">
        <v>16</v>
      </c>
      <c r="F339" s="1" t="s">
        <v>30</v>
      </c>
      <c r="G339" s="1" t="s">
        <v>50</v>
      </c>
      <c r="H339" s="1" t="s">
        <v>32</v>
      </c>
      <c r="I339" s="1" t="s">
        <v>56</v>
      </c>
      <c r="J339" s="1">
        <v>18</v>
      </c>
      <c r="K339" s="1" t="s">
        <v>34</v>
      </c>
      <c r="L339" s="2">
        <v>46306</v>
      </c>
      <c r="M339" s="1">
        <v>5</v>
      </c>
      <c r="N339" s="1" t="s">
        <v>64</v>
      </c>
      <c r="O339" s="3" t="s">
        <v>23</v>
      </c>
    </row>
    <row r="340" spans="1:15" x14ac:dyDescent="0.3">
      <c r="A340" s="20">
        <v>46296.048784722225</v>
      </c>
      <c r="B340" s="21" t="s">
        <v>15</v>
      </c>
      <c r="C340" s="15">
        <v>28.5562</v>
      </c>
      <c r="D340" s="1">
        <v>77.099999999999994</v>
      </c>
      <c r="E340" s="1" t="s">
        <v>38</v>
      </c>
      <c r="F340" s="1" t="s">
        <v>17</v>
      </c>
      <c r="G340" s="1" t="s">
        <v>50</v>
      </c>
      <c r="H340" s="1" t="s">
        <v>32</v>
      </c>
      <c r="I340" s="1" t="s">
        <v>20</v>
      </c>
      <c r="J340" s="1">
        <v>70</v>
      </c>
      <c r="K340" s="1" t="s">
        <v>34</v>
      </c>
      <c r="L340" s="2">
        <v>46306</v>
      </c>
      <c r="M340" s="1">
        <v>5</v>
      </c>
      <c r="N340" s="1" t="s">
        <v>64</v>
      </c>
      <c r="O340" s="3" t="s">
        <v>23</v>
      </c>
    </row>
    <row r="341" spans="1:15" x14ac:dyDescent="0.3">
      <c r="A341" s="22">
        <v>46296.048668981479</v>
      </c>
      <c r="B341" s="23" t="s">
        <v>24</v>
      </c>
      <c r="C341" s="15">
        <v>28.656199999999998</v>
      </c>
      <c r="D341" s="1">
        <v>77.231499999999997</v>
      </c>
      <c r="E341" s="1" t="s">
        <v>55</v>
      </c>
      <c r="F341" s="1" t="s">
        <v>26</v>
      </c>
      <c r="G341" s="1" t="s">
        <v>18</v>
      </c>
      <c r="H341" s="1" t="s">
        <v>32</v>
      </c>
      <c r="I341" s="1" t="s">
        <v>20</v>
      </c>
      <c r="J341" s="1">
        <v>66</v>
      </c>
      <c r="K341" s="1" t="s">
        <v>21</v>
      </c>
      <c r="L341" s="2">
        <v>46306</v>
      </c>
      <c r="M341" s="1">
        <v>4</v>
      </c>
      <c r="N341" s="1" t="s">
        <v>64</v>
      </c>
      <c r="O341" s="3" t="s">
        <v>23</v>
      </c>
    </row>
    <row r="342" spans="1:15" x14ac:dyDescent="0.3">
      <c r="A342" s="20">
        <v>46296.04855324074</v>
      </c>
      <c r="B342" s="21" t="s">
        <v>37</v>
      </c>
      <c r="C342" s="15">
        <v>28.632999999999999</v>
      </c>
      <c r="D342" s="1">
        <v>77.2196</v>
      </c>
      <c r="E342" s="1" t="s">
        <v>16</v>
      </c>
      <c r="F342" s="1" t="s">
        <v>26</v>
      </c>
      <c r="G342" s="1" t="s">
        <v>45</v>
      </c>
      <c r="H342" s="1" t="s">
        <v>32</v>
      </c>
      <c r="I342" s="1" t="s">
        <v>20</v>
      </c>
      <c r="J342" s="1">
        <v>67</v>
      </c>
      <c r="K342" s="1" t="s">
        <v>21</v>
      </c>
      <c r="L342" s="2">
        <v>46306</v>
      </c>
      <c r="M342" s="1">
        <v>0</v>
      </c>
      <c r="N342" s="1" t="s">
        <v>64</v>
      </c>
      <c r="O342" s="3" t="s">
        <v>23</v>
      </c>
    </row>
    <row r="343" spans="1:15" x14ac:dyDescent="0.3">
      <c r="A343" s="22">
        <v>46296.048437500001</v>
      </c>
      <c r="B343" s="23" t="s">
        <v>37</v>
      </c>
      <c r="C343" s="15">
        <v>28.632999999999999</v>
      </c>
      <c r="D343" s="1">
        <v>77.2196</v>
      </c>
      <c r="E343" s="1" t="s">
        <v>16</v>
      </c>
      <c r="F343" s="1" t="s">
        <v>52</v>
      </c>
      <c r="G343" s="1" t="s">
        <v>18</v>
      </c>
      <c r="H343" s="1" t="s">
        <v>32</v>
      </c>
      <c r="I343" s="1" t="s">
        <v>56</v>
      </c>
      <c r="J343" s="1">
        <v>29</v>
      </c>
      <c r="K343" s="1" t="s">
        <v>34</v>
      </c>
      <c r="L343" s="2">
        <v>46305</v>
      </c>
      <c r="M343" s="1">
        <v>23</v>
      </c>
      <c r="N343" s="1" t="s">
        <v>65</v>
      </c>
      <c r="O343" s="3" t="s">
        <v>23</v>
      </c>
    </row>
    <row r="344" spans="1:15" x14ac:dyDescent="0.3">
      <c r="A344" s="20">
        <v>46296.048321759263</v>
      </c>
      <c r="B344" s="21" t="s">
        <v>54</v>
      </c>
      <c r="C344" s="15">
        <v>28.545300000000001</v>
      </c>
      <c r="D344" s="1">
        <v>77.192499999999995</v>
      </c>
      <c r="E344" s="1" t="s">
        <v>41</v>
      </c>
      <c r="F344" s="1" t="s">
        <v>30</v>
      </c>
      <c r="G344" s="1" t="s">
        <v>18</v>
      </c>
      <c r="H344" s="1" t="s">
        <v>32</v>
      </c>
      <c r="I344" s="1" t="s">
        <v>33</v>
      </c>
      <c r="J344" s="1">
        <v>52</v>
      </c>
      <c r="K344" s="1" t="s">
        <v>39</v>
      </c>
      <c r="L344" s="2">
        <v>46305</v>
      </c>
      <c r="M344" s="1">
        <v>21</v>
      </c>
      <c r="N344" s="1" t="s">
        <v>65</v>
      </c>
      <c r="O344" s="3" t="s">
        <v>23</v>
      </c>
    </row>
    <row r="345" spans="1:15" x14ac:dyDescent="0.3">
      <c r="A345" s="22">
        <v>46296.048206018517</v>
      </c>
      <c r="B345" s="23" t="s">
        <v>54</v>
      </c>
      <c r="C345" s="15">
        <v>28.632999999999999</v>
      </c>
      <c r="D345" s="1">
        <v>77.2196</v>
      </c>
      <c r="E345" s="1" t="s">
        <v>16</v>
      </c>
      <c r="F345" s="1" t="s">
        <v>52</v>
      </c>
      <c r="G345" s="1" t="s">
        <v>45</v>
      </c>
      <c r="H345" s="1" t="s">
        <v>27</v>
      </c>
      <c r="I345" s="1" t="s">
        <v>33</v>
      </c>
      <c r="J345" s="1">
        <v>43</v>
      </c>
      <c r="K345" s="1" t="s">
        <v>39</v>
      </c>
      <c r="L345" s="2">
        <v>46305</v>
      </c>
      <c r="M345" s="1">
        <v>18</v>
      </c>
      <c r="N345" s="1" t="s">
        <v>65</v>
      </c>
      <c r="O345" s="3" t="s">
        <v>28</v>
      </c>
    </row>
    <row r="346" spans="1:15" x14ac:dyDescent="0.3">
      <c r="A346" s="20">
        <v>46296.048090277778</v>
      </c>
      <c r="B346" s="21" t="s">
        <v>37</v>
      </c>
      <c r="C346" s="15">
        <v>28.656199999999998</v>
      </c>
      <c r="D346" s="1">
        <v>77.231499999999997</v>
      </c>
      <c r="E346" s="1" t="s">
        <v>55</v>
      </c>
      <c r="F346" s="1" t="s">
        <v>26</v>
      </c>
      <c r="G346" s="1" t="s">
        <v>50</v>
      </c>
      <c r="H346" s="1" t="s">
        <v>27</v>
      </c>
      <c r="I346" s="1" t="s">
        <v>20</v>
      </c>
      <c r="J346" s="1">
        <v>48</v>
      </c>
      <c r="K346" s="1" t="s">
        <v>34</v>
      </c>
      <c r="L346" s="2">
        <v>46305</v>
      </c>
      <c r="M346" s="1">
        <v>18</v>
      </c>
      <c r="N346" s="1" t="s">
        <v>65</v>
      </c>
      <c r="O346" s="3" t="s">
        <v>28</v>
      </c>
    </row>
    <row r="347" spans="1:15" x14ac:dyDescent="0.3">
      <c r="A347" s="22">
        <v>46296.047974537039</v>
      </c>
      <c r="B347" s="23" t="s">
        <v>42</v>
      </c>
      <c r="C347" s="15">
        <v>28.6129</v>
      </c>
      <c r="D347" s="1">
        <v>77.229500000000002</v>
      </c>
      <c r="E347" s="1" t="s">
        <v>43</v>
      </c>
      <c r="F347" s="1" t="s">
        <v>44</v>
      </c>
      <c r="G347" s="1" t="s">
        <v>31</v>
      </c>
      <c r="H347" s="1" t="s">
        <v>19</v>
      </c>
      <c r="I347" s="1" t="s">
        <v>33</v>
      </c>
      <c r="J347" s="1">
        <v>33</v>
      </c>
      <c r="K347" s="1" t="s">
        <v>34</v>
      </c>
      <c r="L347" s="2">
        <v>46305</v>
      </c>
      <c r="M347" s="1">
        <v>15</v>
      </c>
      <c r="N347" s="1" t="s">
        <v>65</v>
      </c>
      <c r="O347" s="3" t="s">
        <v>51</v>
      </c>
    </row>
    <row r="348" spans="1:15" x14ac:dyDescent="0.3">
      <c r="A348" s="20">
        <v>46296.047858796293</v>
      </c>
      <c r="B348" s="21" t="s">
        <v>24</v>
      </c>
      <c r="C348" s="15">
        <v>28.5562</v>
      </c>
      <c r="D348" s="1">
        <v>77.099999999999994</v>
      </c>
      <c r="E348" s="1" t="s">
        <v>38</v>
      </c>
      <c r="F348" s="1" t="s">
        <v>17</v>
      </c>
      <c r="G348" s="1" t="s">
        <v>50</v>
      </c>
      <c r="H348" s="1" t="s">
        <v>32</v>
      </c>
      <c r="I348" s="1" t="s">
        <v>20</v>
      </c>
      <c r="J348" s="1">
        <v>54</v>
      </c>
      <c r="K348" s="1" t="s">
        <v>34</v>
      </c>
      <c r="L348" s="2">
        <v>46305</v>
      </c>
      <c r="M348" s="1">
        <v>15</v>
      </c>
      <c r="N348" s="1" t="s">
        <v>65</v>
      </c>
      <c r="O348" s="3" t="s">
        <v>51</v>
      </c>
    </row>
    <row r="349" spans="1:15" x14ac:dyDescent="0.3">
      <c r="A349" s="22">
        <v>46296.047743055555</v>
      </c>
      <c r="B349" s="23" t="s">
        <v>15</v>
      </c>
      <c r="C349" s="15">
        <v>28.567599999999999</v>
      </c>
      <c r="D349" s="1">
        <v>77.209599999999995</v>
      </c>
      <c r="E349" s="1" t="s">
        <v>25</v>
      </c>
      <c r="F349" s="1" t="s">
        <v>26</v>
      </c>
      <c r="G349" s="1" t="s">
        <v>18</v>
      </c>
      <c r="H349" s="1" t="s">
        <v>19</v>
      </c>
      <c r="I349" s="1" t="s">
        <v>20</v>
      </c>
      <c r="J349" s="1">
        <v>63</v>
      </c>
      <c r="K349" s="1" t="s">
        <v>39</v>
      </c>
      <c r="L349" s="2">
        <v>46305</v>
      </c>
      <c r="M349" s="1">
        <v>14</v>
      </c>
      <c r="N349" s="1" t="s">
        <v>65</v>
      </c>
      <c r="O349" s="3" t="s">
        <v>51</v>
      </c>
    </row>
    <row r="350" spans="1:15" x14ac:dyDescent="0.3">
      <c r="A350" s="20">
        <v>46296.047627314816</v>
      </c>
      <c r="B350" s="21" t="s">
        <v>46</v>
      </c>
      <c r="C350" s="15">
        <v>28.545300000000001</v>
      </c>
      <c r="D350" s="1">
        <v>77.192499999999995</v>
      </c>
      <c r="E350" s="1" t="s">
        <v>41</v>
      </c>
      <c r="F350" s="1" t="s">
        <v>17</v>
      </c>
      <c r="G350" s="1" t="s">
        <v>45</v>
      </c>
      <c r="H350" s="1" t="s">
        <v>27</v>
      </c>
      <c r="I350" s="1" t="s">
        <v>20</v>
      </c>
      <c r="J350" s="1">
        <v>74</v>
      </c>
      <c r="K350" s="1" t="s">
        <v>21</v>
      </c>
      <c r="L350" s="2">
        <v>46305</v>
      </c>
      <c r="M350" s="1">
        <v>13</v>
      </c>
      <c r="N350" s="1" t="s">
        <v>65</v>
      </c>
      <c r="O350" s="3" t="s">
        <v>51</v>
      </c>
    </row>
    <row r="351" spans="1:15" x14ac:dyDescent="0.3">
      <c r="A351" s="22">
        <v>46296.047511574077</v>
      </c>
      <c r="B351" s="23" t="s">
        <v>42</v>
      </c>
      <c r="C351" s="15">
        <v>28.6328</v>
      </c>
      <c r="D351" s="1">
        <v>77.219499999999996</v>
      </c>
      <c r="E351" s="1" t="s">
        <v>16</v>
      </c>
      <c r="F351" s="1" t="s">
        <v>48</v>
      </c>
      <c r="G351" s="1" t="s">
        <v>18</v>
      </c>
      <c r="H351" s="1" t="s">
        <v>27</v>
      </c>
      <c r="I351" s="1" t="s">
        <v>20</v>
      </c>
      <c r="J351" s="1">
        <v>57</v>
      </c>
      <c r="K351" s="1" t="s">
        <v>39</v>
      </c>
      <c r="L351" s="2">
        <v>46305</v>
      </c>
      <c r="M351" s="1">
        <v>13</v>
      </c>
      <c r="N351" s="1" t="s">
        <v>65</v>
      </c>
      <c r="O351" s="3" t="s">
        <v>51</v>
      </c>
    </row>
    <row r="352" spans="1:15" x14ac:dyDescent="0.3">
      <c r="A352" s="20">
        <v>46296.047395833331</v>
      </c>
      <c r="B352" s="21" t="s">
        <v>29</v>
      </c>
      <c r="C352" s="15">
        <v>28.656199999999998</v>
      </c>
      <c r="D352" s="1">
        <v>77.231499999999997</v>
      </c>
      <c r="E352" s="1" t="s">
        <v>55</v>
      </c>
      <c r="F352" s="1" t="s">
        <v>52</v>
      </c>
      <c r="G352" s="1" t="s">
        <v>18</v>
      </c>
      <c r="H352" s="1" t="s">
        <v>19</v>
      </c>
      <c r="I352" s="1" t="s">
        <v>36</v>
      </c>
      <c r="J352" s="1">
        <v>61</v>
      </c>
      <c r="K352" s="1" t="s">
        <v>21</v>
      </c>
      <c r="L352" s="2">
        <v>46305</v>
      </c>
      <c r="M352" s="1">
        <v>12</v>
      </c>
      <c r="N352" s="1" t="s">
        <v>65</v>
      </c>
      <c r="O352" s="3" t="s">
        <v>51</v>
      </c>
    </row>
    <row r="353" spans="1:15" x14ac:dyDescent="0.3">
      <c r="A353" s="22">
        <v>46296.047280092593</v>
      </c>
      <c r="B353" s="23" t="s">
        <v>40</v>
      </c>
      <c r="C353" s="15">
        <v>28.571400000000001</v>
      </c>
      <c r="D353" s="1">
        <v>77.281300000000002</v>
      </c>
      <c r="E353" s="1" t="s">
        <v>47</v>
      </c>
      <c r="F353" s="1" t="s">
        <v>48</v>
      </c>
      <c r="G353" s="1" t="s">
        <v>45</v>
      </c>
      <c r="H353" s="1" t="s">
        <v>32</v>
      </c>
      <c r="I353" s="1" t="s">
        <v>20</v>
      </c>
      <c r="J353" s="1">
        <v>68</v>
      </c>
      <c r="K353" s="1" t="s">
        <v>39</v>
      </c>
      <c r="L353" s="2">
        <v>46305</v>
      </c>
      <c r="M353" s="1">
        <v>10</v>
      </c>
      <c r="N353" s="1" t="s">
        <v>65</v>
      </c>
      <c r="O353" s="3" t="s">
        <v>57</v>
      </c>
    </row>
    <row r="354" spans="1:15" x14ac:dyDescent="0.3">
      <c r="A354" s="20">
        <v>46296.047164351854</v>
      </c>
      <c r="B354" s="21" t="s">
        <v>24</v>
      </c>
      <c r="C354" s="15">
        <v>28.6328</v>
      </c>
      <c r="D354" s="1">
        <v>77.219499999999996</v>
      </c>
      <c r="E354" s="1" t="s">
        <v>16</v>
      </c>
      <c r="F354" s="1" t="s">
        <v>48</v>
      </c>
      <c r="G354" s="1" t="s">
        <v>18</v>
      </c>
      <c r="H354" s="1" t="s">
        <v>27</v>
      </c>
      <c r="I354" s="1" t="s">
        <v>20</v>
      </c>
      <c r="J354" s="1">
        <v>67</v>
      </c>
      <c r="K354" s="1" t="s">
        <v>39</v>
      </c>
      <c r="L354" s="2">
        <v>46305</v>
      </c>
      <c r="M354" s="1">
        <v>9</v>
      </c>
      <c r="N354" s="1" t="s">
        <v>65</v>
      </c>
      <c r="O354" s="3" t="s">
        <v>57</v>
      </c>
    </row>
    <row r="355" spans="1:15" x14ac:dyDescent="0.3">
      <c r="A355" s="22">
        <v>46296.047048611108</v>
      </c>
      <c r="B355" s="23" t="s">
        <v>46</v>
      </c>
      <c r="C355" s="15">
        <v>28.632999999999999</v>
      </c>
      <c r="D355" s="1">
        <v>77.2196</v>
      </c>
      <c r="E355" s="1" t="s">
        <v>16</v>
      </c>
      <c r="F355" s="1" t="s">
        <v>53</v>
      </c>
      <c r="G355" s="1" t="s">
        <v>50</v>
      </c>
      <c r="H355" s="1" t="s">
        <v>32</v>
      </c>
      <c r="I355" s="1" t="s">
        <v>36</v>
      </c>
      <c r="J355" s="1">
        <v>25</v>
      </c>
      <c r="K355" s="1" t="s">
        <v>34</v>
      </c>
      <c r="L355" s="2">
        <v>46305</v>
      </c>
      <c r="M355" s="1">
        <v>6</v>
      </c>
      <c r="N355" s="1" t="s">
        <v>65</v>
      </c>
      <c r="O355" s="3" t="s">
        <v>57</v>
      </c>
    </row>
    <row r="356" spans="1:15" x14ac:dyDescent="0.3">
      <c r="A356" s="20">
        <v>46296.046932870369</v>
      </c>
      <c r="B356" s="21" t="s">
        <v>54</v>
      </c>
      <c r="C356" s="15">
        <v>28.656199999999998</v>
      </c>
      <c r="D356" s="1">
        <v>77.231499999999997</v>
      </c>
      <c r="E356" s="1" t="s">
        <v>55</v>
      </c>
      <c r="F356" s="1" t="s">
        <v>26</v>
      </c>
      <c r="G356" s="1" t="s">
        <v>45</v>
      </c>
      <c r="H356" s="1" t="s">
        <v>32</v>
      </c>
      <c r="I356" s="1" t="s">
        <v>20</v>
      </c>
      <c r="J356" s="1">
        <v>23</v>
      </c>
      <c r="K356" s="1" t="s">
        <v>21</v>
      </c>
      <c r="L356" s="2">
        <v>46305</v>
      </c>
      <c r="M356" s="1">
        <v>2</v>
      </c>
      <c r="N356" s="1" t="s">
        <v>65</v>
      </c>
      <c r="O356" s="3" t="s">
        <v>23</v>
      </c>
    </row>
    <row r="357" spans="1:15" x14ac:dyDescent="0.3">
      <c r="A357" s="22">
        <v>46296.046817129631</v>
      </c>
      <c r="B357" s="23" t="s">
        <v>46</v>
      </c>
      <c r="C357" s="15">
        <v>28.6328</v>
      </c>
      <c r="D357" s="1">
        <v>77.219499999999996</v>
      </c>
      <c r="E357" s="1" t="s">
        <v>16</v>
      </c>
      <c r="F357" s="1" t="s">
        <v>26</v>
      </c>
      <c r="G357" s="1" t="s">
        <v>45</v>
      </c>
      <c r="H357" s="1" t="s">
        <v>32</v>
      </c>
      <c r="I357" s="1" t="s">
        <v>20</v>
      </c>
      <c r="J357" s="1">
        <v>72</v>
      </c>
      <c r="K357" s="1" t="s">
        <v>34</v>
      </c>
      <c r="L357" s="2">
        <v>46305</v>
      </c>
      <c r="M357" s="1">
        <v>1</v>
      </c>
      <c r="N357" s="1" t="s">
        <v>65</v>
      </c>
      <c r="O357" s="3" t="s">
        <v>23</v>
      </c>
    </row>
    <row r="358" spans="1:15" x14ac:dyDescent="0.3">
      <c r="A358" s="20">
        <v>46296.046701388892</v>
      </c>
      <c r="B358" s="21" t="s">
        <v>40</v>
      </c>
      <c r="C358" s="15">
        <v>28.5562</v>
      </c>
      <c r="D358" s="1">
        <v>77.099999999999994</v>
      </c>
      <c r="E358" s="1" t="s">
        <v>38</v>
      </c>
      <c r="F358" s="1" t="s">
        <v>44</v>
      </c>
      <c r="G358" s="1" t="s">
        <v>31</v>
      </c>
      <c r="H358" s="1" t="s">
        <v>32</v>
      </c>
      <c r="I358" s="1" t="s">
        <v>33</v>
      </c>
      <c r="J358" s="1">
        <v>72</v>
      </c>
      <c r="K358" s="1" t="s">
        <v>39</v>
      </c>
      <c r="L358" s="2">
        <v>46305</v>
      </c>
      <c r="M358" s="1">
        <v>0</v>
      </c>
      <c r="N358" s="1" t="s">
        <v>65</v>
      </c>
      <c r="O358" s="3" t="s">
        <v>23</v>
      </c>
    </row>
    <row r="359" spans="1:15" x14ac:dyDescent="0.3">
      <c r="A359" s="22">
        <v>46296.046585648146</v>
      </c>
      <c r="B359" s="23" t="s">
        <v>40</v>
      </c>
      <c r="C359" s="15">
        <v>28.567599999999999</v>
      </c>
      <c r="D359" s="1">
        <v>77.209599999999995</v>
      </c>
      <c r="E359" s="1" t="s">
        <v>25</v>
      </c>
      <c r="F359" s="1" t="s">
        <v>30</v>
      </c>
      <c r="G359" s="1" t="s">
        <v>50</v>
      </c>
      <c r="H359" s="1" t="s">
        <v>61</v>
      </c>
      <c r="I359" s="1" t="s">
        <v>20</v>
      </c>
      <c r="J359" s="1">
        <v>55</v>
      </c>
      <c r="K359" s="1" t="s">
        <v>39</v>
      </c>
      <c r="L359" s="2">
        <v>46305</v>
      </c>
      <c r="M359" s="1">
        <v>0</v>
      </c>
      <c r="N359" s="1" t="s">
        <v>65</v>
      </c>
      <c r="O359" s="3" t="s">
        <v>23</v>
      </c>
    </row>
    <row r="360" spans="1:15" x14ac:dyDescent="0.3">
      <c r="A360" s="20">
        <v>46296.046469907407</v>
      </c>
      <c r="B360" s="21" t="s">
        <v>24</v>
      </c>
      <c r="C360" s="15">
        <v>28.567599999999999</v>
      </c>
      <c r="D360" s="1">
        <v>77.209599999999995</v>
      </c>
      <c r="E360" s="1" t="s">
        <v>25</v>
      </c>
      <c r="F360" s="1" t="s">
        <v>48</v>
      </c>
      <c r="G360" s="1" t="s">
        <v>18</v>
      </c>
      <c r="H360" s="1" t="s">
        <v>27</v>
      </c>
      <c r="I360" s="1" t="s">
        <v>20</v>
      </c>
      <c r="J360" s="1">
        <v>29</v>
      </c>
      <c r="K360" s="1" t="s">
        <v>39</v>
      </c>
      <c r="L360" s="2">
        <v>46304</v>
      </c>
      <c r="M360" s="1">
        <v>17</v>
      </c>
      <c r="N360" s="1" t="s">
        <v>22</v>
      </c>
      <c r="O360" s="3" t="s">
        <v>28</v>
      </c>
    </row>
    <row r="361" spans="1:15" x14ac:dyDescent="0.3">
      <c r="A361" s="22">
        <v>46296.046354166669</v>
      </c>
      <c r="B361" s="23" t="s">
        <v>37</v>
      </c>
      <c r="C361" s="15">
        <v>28.6328</v>
      </c>
      <c r="D361" s="1">
        <v>77.219499999999996</v>
      </c>
      <c r="E361" s="1" t="s">
        <v>16</v>
      </c>
      <c r="F361" s="1" t="s">
        <v>53</v>
      </c>
      <c r="G361" s="1" t="s">
        <v>45</v>
      </c>
      <c r="H361" s="1" t="s">
        <v>32</v>
      </c>
      <c r="I361" s="1" t="s">
        <v>36</v>
      </c>
      <c r="J361" s="1">
        <v>33</v>
      </c>
      <c r="K361" s="1" t="s">
        <v>34</v>
      </c>
      <c r="L361" s="2">
        <v>46304</v>
      </c>
      <c r="M361" s="1">
        <v>17</v>
      </c>
      <c r="N361" s="1" t="s">
        <v>22</v>
      </c>
      <c r="O361" s="3" t="s">
        <v>28</v>
      </c>
    </row>
    <row r="362" spans="1:15" x14ac:dyDescent="0.3">
      <c r="A362" s="20">
        <v>46296.046238425923</v>
      </c>
      <c r="B362" s="21" t="s">
        <v>42</v>
      </c>
      <c r="C362" s="15">
        <v>28.567599999999999</v>
      </c>
      <c r="D362" s="1">
        <v>77.209599999999995</v>
      </c>
      <c r="E362" s="1" t="s">
        <v>25</v>
      </c>
      <c r="F362" s="1" t="s">
        <v>48</v>
      </c>
      <c r="G362" s="1" t="s">
        <v>45</v>
      </c>
      <c r="H362" s="1" t="s">
        <v>27</v>
      </c>
      <c r="I362" s="1" t="s">
        <v>20</v>
      </c>
      <c r="J362" s="1">
        <v>66</v>
      </c>
      <c r="K362" s="1" t="s">
        <v>39</v>
      </c>
      <c r="L362" s="2">
        <v>46304</v>
      </c>
      <c r="M362" s="1">
        <v>17</v>
      </c>
      <c r="N362" s="1" t="s">
        <v>22</v>
      </c>
      <c r="O362" s="3" t="s">
        <v>28</v>
      </c>
    </row>
    <row r="363" spans="1:15" x14ac:dyDescent="0.3">
      <c r="A363" s="22">
        <v>46296.046122685184</v>
      </c>
      <c r="B363" s="23" t="s">
        <v>37</v>
      </c>
      <c r="C363" s="15">
        <v>28.545300000000001</v>
      </c>
      <c r="D363" s="1">
        <v>77.192499999999995</v>
      </c>
      <c r="E363" s="1" t="s">
        <v>41</v>
      </c>
      <c r="F363" s="1" t="s">
        <v>35</v>
      </c>
      <c r="G363" s="1" t="s">
        <v>50</v>
      </c>
      <c r="H363" s="1" t="s">
        <v>32</v>
      </c>
      <c r="I363" s="1" t="s">
        <v>56</v>
      </c>
      <c r="J363" s="1">
        <v>32</v>
      </c>
      <c r="K363" s="1" t="s">
        <v>39</v>
      </c>
      <c r="L363" s="2">
        <v>46304</v>
      </c>
      <c r="M363" s="1">
        <v>13</v>
      </c>
      <c r="N363" s="1" t="s">
        <v>22</v>
      </c>
      <c r="O363" s="3" t="s">
        <v>51</v>
      </c>
    </row>
    <row r="364" spans="1:15" x14ac:dyDescent="0.3">
      <c r="A364" s="20">
        <v>46296.046006944445</v>
      </c>
      <c r="B364" s="21" t="s">
        <v>37</v>
      </c>
      <c r="C364" s="15">
        <v>28.545300000000001</v>
      </c>
      <c r="D364" s="1">
        <v>77.192499999999995</v>
      </c>
      <c r="E364" s="1" t="s">
        <v>41</v>
      </c>
      <c r="F364" s="1" t="s">
        <v>48</v>
      </c>
      <c r="G364" s="1" t="s">
        <v>18</v>
      </c>
      <c r="H364" s="1" t="s">
        <v>27</v>
      </c>
      <c r="I364" s="1" t="s">
        <v>20</v>
      </c>
      <c r="J364" s="1">
        <v>35</v>
      </c>
      <c r="K364" s="1" t="s">
        <v>34</v>
      </c>
      <c r="L364" s="2">
        <v>46304</v>
      </c>
      <c r="M364" s="1">
        <v>12</v>
      </c>
      <c r="N364" s="1" t="s">
        <v>22</v>
      </c>
      <c r="O364" s="3" t="s">
        <v>51</v>
      </c>
    </row>
    <row r="365" spans="1:15" x14ac:dyDescent="0.3">
      <c r="A365" s="22">
        <v>46296.045891203707</v>
      </c>
      <c r="B365" s="23" t="s">
        <v>54</v>
      </c>
      <c r="C365" s="15">
        <v>28.6129</v>
      </c>
      <c r="D365" s="1">
        <v>77.229500000000002</v>
      </c>
      <c r="E365" s="1" t="s">
        <v>43</v>
      </c>
      <c r="F365" s="1" t="s">
        <v>44</v>
      </c>
      <c r="G365" s="1" t="s">
        <v>50</v>
      </c>
      <c r="H365" s="1" t="s">
        <v>32</v>
      </c>
      <c r="I365" s="1" t="s">
        <v>20</v>
      </c>
      <c r="J365" s="1">
        <v>74</v>
      </c>
      <c r="K365" s="1" t="s">
        <v>39</v>
      </c>
      <c r="L365" s="2">
        <v>46304</v>
      </c>
      <c r="M365" s="1">
        <v>10</v>
      </c>
      <c r="N365" s="1" t="s">
        <v>22</v>
      </c>
      <c r="O365" s="3" t="s">
        <v>57</v>
      </c>
    </row>
    <row r="366" spans="1:15" x14ac:dyDescent="0.3">
      <c r="A366" s="20">
        <v>46296.045775462961</v>
      </c>
      <c r="B366" s="21" t="s">
        <v>42</v>
      </c>
      <c r="C366" s="15">
        <v>28.5562</v>
      </c>
      <c r="D366" s="1">
        <v>77.099999999999994</v>
      </c>
      <c r="E366" s="1" t="s">
        <v>38</v>
      </c>
      <c r="F366" s="1" t="s">
        <v>58</v>
      </c>
      <c r="G366" s="1" t="s">
        <v>18</v>
      </c>
      <c r="H366" s="1" t="s">
        <v>32</v>
      </c>
      <c r="I366" s="1" t="s">
        <v>20</v>
      </c>
      <c r="J366" s="1">
        <v>34</v>
      </c>
      <c r="K366" s="1" t="s">
        <v>21</v>
      </c>
      <c r="L366" s="2">
        <v>46304</v>
      </c>
      <c r="M366" s="1">
        <v>9</v>
      </c>
      <c r="N366" s="1" t="s">
        <v>22</v>
      </c>
      <c r="O366" s="3" t="s">
        <v>57</v>
      </c>
    </row>
    <row r="367" spans="1:15" x14ac:dyDescent="0.3">
      <c r="A367" s="22">
        <v>46296.045659722222</v>
      </c>
      <c r="B367" s="23" t="s">
        <v>40</v>
      </c>
      <c r="C367" s="15">
        <v>28.5562</v>
      </c>
      <c r="D367" s="1">
        <v>77.099999999999994</v>
      </c>
      <c r="E367" s="1" t="s">
        <v>38</v>
      </c>
      <c r="F367" s="1" t="s">
        <v>26</v>
      </c>
      <c r="G367" s="1" t="s">
        <v>18</v>
      </c>
      <c r="H367" s="1" t="s">
        <v>27</v>
      </c>
      <c r="I367" s="1" t="s">
        <v>20</v>
      </c>
      <c r="J367" s="1">
        <v>44</v>
      </c>
      <c r="K367" s="1" t="s">
        <v>21</v>
      </c>
      <c r="L367" s="2">
        <v>46304</v>
      </c>
      <c r="M367" s="1">
        <v>4</v>
      </c>
      <c r="N367" s="1" t="s">
        <v>22</v>
      </c>
      <c r="O367" s="3" t="s">
        <v>23</v>
      </c>
    </row>
    <row r="368" spans="1:15" x14ac:dyDescent="0.3">
      <c r="A368" s="20">
        <v>46296.045543981483</v>
      </c>
      <c r="B368" s="21" t="s">
        <v>24</v>
      </c>
      <c r="C368" s="15">
        <v>28.632999999999999</v>
      </c>
      <c r="D368" s="1">
        <v>77.2196</v>
      </c>
      <c r="E368" s="1" t="s">
        <v>16</v>
      </c>
      <c r="F368" s="1" t="s">
        <v>52</v>
      </c>
      <c r="G368" s="1" t="s">
        <v>45</v>
      </c>
      <c r="H368" s="1" t="s">
        <v>32</v>
      </c>
      <c r="I368" s="1" t="s">
        <v>56</v>
      </c>
      <c r="J368" s="1">
        <v>66</v>
      </c>
      <c r="K368" s="1" t="s">
        <v>39</v>
      </c>
      <c r="L368" s="2">
        <v>46304</v>
      </c>
      <c r="M368" s="1">
        <v>3</v>
      </c>
      <c r="N368" s="1" t="s">
        <v>22</v>
      </c>
      <c r="O368" s="3" t="s">
        <v>23</v>
      </c>
    </row>
    <row r="369" spans="1:15" x14ac:dyDescent="0.3">
      <c r="A369" s="22">
        <v>46296.045428240737</v>
      </c>
      <c r="B369" s="23" t="s">
        <v>24</v>
      </c>
      <c r="C369" s="15">
        <v>28.6328</v>
      </c>
      <c r="D369" s="1">
        <v>77.219499999999996</v>
      </c>
      <c r="E369" s="1" t="s">
        <v>16</v>
      </c>
      <c r="F369" s="1" t="s">
        <v>35</v>
      </c>
      <c r="G369" s="1" t="s">
        <v>18</v>
      </c>
      <c r="H369" s="1" t="s">
        <v>19</v>
      </c>
      <c r="I369" s="1" t="s">
        <v>56</v>
      </c>
      <c r="J369" s="1">
        <v>72</v>
      </c>
      <c r="K369" s="1" t="s">
        <v>34</v>
      </c>
      <c r="L369" s="2">
        <v>46304</v>
      </c>
      <c r="M369" s="1">
        <v>0</v>
      </c>
      <c r="N369" s="1" t="s">
        <v>22</v>
      </c>
      <c r="O369" s="3" t="s">
        <v>23</v>
      </c>
    </row>
    <row r="370" spans="1:15" x14ac:dyDescent="0.3">
      <c r="A370" s="20">
        <v>46296.045312499999</v>
      </c>
      <c r="B370" s="21" t="s">
        <v>54</v>
      </c>
      <c r="C370" s="15">
        <v>28.6328</v>
      </c>
      <c r="D370" s="1">
        <v>77.219499999999996</v>
      </c>
      <c r="E370" s="1" t="s">
        <v>16</v>
      </c>
      <c r="F370" s="1" t="s">
        <v>52</v>
      </c>
      <c r="G370" s="1" t="s">
        <v>50</v>
      </c>
      <c r="H370" s="1" t="s">
        <v>27</v>
      </c>
      <c r="I370" s="1" t="s">
        <v>49</v>
      </c>
      <c r="J370" s="1">
        <v>38</v>
      </c>
      <c r="K370" s="1" t="s">
        <v>34</v>
      </c>
      <c r="L370" s="2">
        <v>46303</v>
      </c>
      <c r="M370" s="1">
        <v>23</v>
      </c>
      <c r="N370" s="1" t="s">
        <v>59</v>
      </c>
      <c r="O370" s="3" t="s">
        <v>23</v>
      </c>
    </row>
    <row r="371" spans="1:15" x14ac:dyDescent="0.3">
      <c r="A371" s="22">
        <v>46296.04519675926</v>
      </c>
      <c r="B371" s="23" t="s">
        <v>15</v>
      </c>
      <c r="C371" s="15">
        <v>28.571400000000001</v>
      </c>
      <c r="D371" s="1">
        <v>77.281300000000002</v>
      </c>
      <c r="E371" s="1" t="s">
        <v>47</v>
      </c>
      <c r="F371" s="1" t="s">
        <v>48</v>
      </c>
      <c r="G371" s="1" t="s">
        <v>45</v>
      </c>
      <c r="H371" s="1" t="s">
        <v>19</v>
      </c>
      <c r="I371" s="1" t="s">
        <v>20</v>
      </c>
      <c r="J371" s="1">
        <v>68</v>
      </c>
      <c r="K371" s="1" t="s">
        <v>34</v>
      </c>
      <c r="L371" s="2">
        <v>46303</v>
      </c>
      <c r="M371" s="1">
        <v>22</v>
      </c>
      <c r="N371" s="1" t="s">
        <v>59</v>
      </c>
      <c r="O371" s="3" t="s">
        <v>23</v>
      </c>
    </row>
    <row r="372" spans="1:15" x14ac:dyDescent="0.3">
      <c r="A372" s="20">
        <v>46296.045081018521</v>
      </c>
      <c r="B372" s="21" t="s">
        <v>24</v>
      </c>
      <c r="C372" s="15">
        <v>28.545300000000001</v>
      </c>
      <c r="D372" s="1">
        <v>77.192499999999995</v>
      </c>
      <c r="E372" s="1" t="s">
        <v>41</v>
      </c>
      <c r="F372" s="1" t="s">
        <v>35</v>
      </c>
      <c r="G372" s="1" t="s">
        <v>50</v>
      </c>
      <c r="H372" s="1" t="s">
        <v>61</v>
      </c>
      <c r="I372" s="1" t="s">
        <v>33</v>
      </c>
      <c r="J372" s="1">
        <v>32</v>
      </c>
      <c r="K372" s="1" t="s">
        <v>39</v>
      </c>
      <c r="L372" s="2">
        <v>46303</v>
      </c>
      <c r="M372" s="1">
        <v>22</v>
      </c>
      <c r="N372" s="1" t="s">
        <v>59</v>
      </c>
      <c r="O372" s="3" t="s">
        <v>23</v>
      </c>
    </row>
    <row r="373" spans="1:15" x14ac:dyDescent="0.3">
      <c r="A373" s="22">
        <v>46296.044965277775</v>
      </c>
      <c r="B373" s="23" t="s">
        <v>54</v>
      </c>
      <c r="C373" s="15">
        <v>28.545300000000001</v>
      </c>
      <c r="D373" s="1">
        <v>77.192499999999995</v>
      </c>
      <c r="E373" s="1" t="s">
        <v>41</v>
      </c>
      <c r="F373" s="1" t="s">
        <v>58</v>
      </c>
      <c r="G373" s="1" t="s">
        <v>18</v>
      </c>
      <c r="H373" s="1" t="s">
        <v>32</v>
      </c>
      <c r="I373" s="1" t="s">
        <v>20</v>
      </c>
      <c r="J373" s="1">
        <v>67</v>
      </c>
      <c r="K373" s="1" t="s">
        <v>39</v>
      </c>
      <c r="L373" s="2">
        <v>46303</v>
      </c>
      <c r="M373" s="1">
        <v>21</v>
      </c>
      <c r="N373" s="1" t="s">
        <v>59</v>
      </c>
      <c r="O373" s="3" t="s">
        <v>23</v>
      </c>
    </row>
    <row r="374" spans="1:15" x14ac:dyDescent="0.3">
      <c r="A374" s="20">
        <v>46296.044849537036</v>
      </c>
      <c r="B374" s="21" t="s">
        <v>42</v>
      </c>
      <c r="C374" s="15">
        <v>28.656199999999998</v>
      </c>
      <c r="D374" s="1">
        <v>77.231499999999997</v>
      </c>
      <c r="E374" s="1" t="s">
        <v>55</v>
      </c>
      <c r="F374" s="1" t="s">
        <v>48</v>
      </c>
      <c r="G374" s="1" t="s">
        <v>31</v>
      </c>
      <c r="H374" s="1" t="s">
        <v>27</v>
      </c>
      <c r="I374" s="1" t="s">
        <v>20</v>
      </c>
      <c r="J374" s="1">
        <v>72</v>
      </c>
      <c r="K374" s="1" t="s">
        <v>21</v>
      </c>
      <c r="L374" s="2">
        <v>46303</v>
      </c>
      <c r="M374" s="1">
        <v>20</v>
      </c>
      <c r="N374" s="1" t="s">
        <v>59</v>
      </c>
      <c r="O374" s="3" t="s">
        <v>28</v>
      </c>
    </row>
    <row r="375" spans="1:15" x14ac:dyDescent="0.3">
      <c r="A375" s="22">
        <v>46296.044733796298</v>
      </c>
      <c r="B375" s="23" t="s">
        <v>54</v>
      </c>
      <c r="C375" s="15">
        <v>28.5562</v>
      </c>
      <c r="D375" s="1">
        <v>77.099999999999994</v>
      </c>
      <c r="E375" s="1" t="s">
        <v>38</v>
      </c>
      <c r="F375" s="1" t="s">
        <v>30</v>
      </c>
      <c r="G375" s="1" t="s">
        <v>31</v>
      </c>
      <c r="H375" s="1" t="s">
        <v>32</v>
      </c>
      <c r="I375" s="1" t="s">
        <v>36</v>
      </c>
      <c r="J375" s="1">
        <v>24</v>
      </c>
      <c r="K375" s="1" t="s">
        <v>21</v>
      </c>
      <c r="L375" s="2">
        <v>46303</v>
      </c>
      <c r="M375" s="1">
        <v>13</v>
      </c>
      <c r="N375" s="1" t="s">
        <v>59</v>
      </c>
      <c r="O375" s="3" t="s">
        <v>51</v>
      </c>
    </row>
    <row r="376" spans="1:15" x14ac:dyDescent="0.3">
      <c r="A376" s="20">
        <v>46296.044618055559</v>
      </c>
      <c r="B376" s="21" t="s">
        <v>42</v>
      </c>
      <c r="C376" s="15">
        <v>28.5562</v>
      </c>
      <c r="D376" s="1">
        <v>77.099999999999994</v>
      </c>
      <c r="E376" s="1" t="s">
        <v>38</v>
      </c>
      <c r="F376" s="1" t="s">
        <v>26</v>
      </c>
      <c r="G376" s="1" t="s">
        <v>45</v>
      </c>
      <c r="H376" s="1" t="s">
        <v>32</v>
      </c>
      <c r="I376" s="1" t="s">
        <v>20</v>
      </c>
      <c r="J376" s="1">
        <v>21</v>
      </c>
      <c r="K376" s="1" t="s">
        <v>39</v>
      </c>
      <c r="L376" s="2">
        <v>46303</v>
      </c>
      <c r="M376" s="1">
        <v>13</v>
      </c>
      <c r="N376" s="1" t="s">
        <v>59</v>
      </c>
      <c r="O376" s="3" t="s">
        <v>51</v>
      </c>
    </row>
    <row r="377" spans="1:15" x14ac:dyDescent="0.3">
      <c r="A377" s="22">
        <v>46296.044502314813</v>
      </c>
      <c r="B377" s="23" t="s">
        <v>54</v>
      </c>
      <c r="C377" s="15">
        <v>28.5562</v>
      </c>
      <c r="D377" s="1">
        <v>77.099999999999994</v>
      </c>
      <c r="E377" s="1" t="s">
        <v>38</v>
      </c>
      <c r="F377" s="1" t="s">
        <v>53</v>
      </c>
      <c r="G377" s="1" t="s">
        <v>45</v>
      </c>
      <c r="H377" s="1" t="s">
        <v>27</v>
      </c>
      <c r="I377" s="1" t="s">
        <v>20</v>
      </c>
      <c r="J377" s="1">
        <v>43</v>
      </c>
      <c r="K377" s="1" t="s">
        <v>39</v>
      </c>
      <c r="L377" s="2">
        <v>46303</v>
      </c>
      <c r="M377" s="1">
        <v>12</v>
      </c>
      <c r="N377" s="1" t="s">
        <v>59</v>
      </c>
      <c r="O377" s="3" t="s">
        <v>51</v>
      </c>
    </row>
    <row r="378" spans="1:15" x14ac:dyDescent="0.3">
      <c r="A378" s="20">
        <v>46296.044386574074</v>
      </c>
      <c r="B378" s="21" t="s">
        <v>37</v>
      </c>
      <c r="C378" s="15">
        <v>28.6129</v>
      </c>
      <c r="D378" s="1">
        <v>77.229500000000002</v>
      </c>
      <c r="E378" s="1" t="s">
        <v>43</v>
      </c>
      <c r="F378" s="1" t="s">
        <v>35</v>
      </c>
      <c r="G378" s="1" t="s">
        <v>18</v>
      </c>
      <c r="H378" s="1" t="s">
        <v>19</v>
      </c>
      <c r="I378" s="1" t="s">
        <v>56</v>
      </c>
      <c r="J378" s="1">
        <v>39</v>
      </c>
      <c r="K378" s="1" t="s">
        <v>39</v>
      </c>
      <c r="L378" s="2">
        <v>46303</v>
      </c>
      <c r="M378" s="1">
        <v>11</v>
      </c>
      <c r="N378" s="1" t="s">
        <v>59</v>
      </c>
      <c r="O378" s="3" t="s">
        <v>57</v>
      </c>
    </row>
    <row r="379" spans="1:15" x14ac:dyDescent="0.3">
      <c r="A379" s="22">
        <v>46296.044270833336</v>
      </c>
      <c r="B379" s="23" t="s">
        <v>42</v>
      </c>
      <c r="C379" s="15">
        <v>28.632999999999999</v>
      </c>
      <c r="D379" s="1">
        <v>77.2196</v>
      </c>
      <c r="E379" s="1" t="s">
        <v>16</v>
      </c>
      <c r="F379" s="1" t="s">
        <v>35</v>
      </c>
      <c r="G379" s="1" t="s">
        <v>18</v>
      </c>
      <c r="H379" s="1" t="s">
        <v>27</v>
      </c>
      <c r="I379" s="1" t="s">
        <v>33</v>
      </c>
      <c r="J379" s="1">
        <v>28</v>
      </c>
      <c r="K379" s="1" t="s">
        <v>21</v>
      </c>
      <c r="L379" s="2">
        <v>46303</v>
      </c>
      <c r="M379" s="1">
        <v>10</v>
      </c>
      <c r="N379" s="1" t="s">
        <v>59</v>
      </c>
      <c r="O379" s="3" t="s">
        <v>57</v>
      </c>
    </row>
    <row r="380" spans="1:15" x14ac:dyDescent="0.3">
      <c r="A380" s="20">
        <v>46296.04415509259</v>
      </c>
      <c r="B380" s="21" t="s">
        <v>37</v>
      </c>
      <c r="C380" s="15">
        <v>28.6129</v>
      </c>
      <c r="D380" s="1">
        <v>77.229500000000002</v>
      </c>
      <c r="E380" s="1" t="s">
        <v>43</v>
      </c>
      <c r="F380" s="1" t="s">
        <v>26</v>
      </c>
      <c r="G380" s="1" t="s">
        <v>45</v>
      </c>
      <c r="H380" s="1" t="s">
        <v>32</v>
      </c>
      <c r="I380" s="1" t="s">
        <v>20</v>
      </c>
      <c r="J380" s="1">
        <v>61</v>
      </c>
      <c r="K380" s="1" t="s">
        <v>21</v>
      </c>
      <c r="L380" s="2">
        <v>46303</v>
      </c>
      <c r="M380" s="1">
        <v>10</v>
      </c>
      <c r="N380" s="1" t="s">
        <v>59</v>
      </c>
      <c r="O380" s="3" t="s">
        <v>57</v>
      </c>
    </row>
    <row r="381" spans="1:15" x14ac:dyDescent="0.3">
      <c r="A381" s="22">
        <v>46296.044039351851</v>
      </c>
      <c r="B381" s="23" t="s">
        <v>24</v>
      </c>
      <c r="C381" s="15">
        <v>28.6328</v>
      </c>
      <c r="D381" s="1">
        <v>77.219499999999996</v>
      </c>
      <c r="E381" s="1" t="s">
        <v>16</v>
      </c>
      <c r="F381" s="1" t="s">
        <v>26</v>
      </c>
      <c r="G381" s="1" t="s">
        <v>18</v>
      </c>
      <c r="H381" s="1" t="s">
        <v>32</v>
      </c>
      <c r="I381" s="1" t="s">
        <v>20</v>
      </c>
      <c r="J381" s="1">
        <v>38</v>
      </c>
      <c r="K381" s="1" t="s">
        <v>21</v>
      </c>
      <c r="L381" s="2">
        <v>46303</v>
      </c>
      <c r="M381" s="1">
        <v>9</v>
      </c>
      <c r="N381" s="1" t="s">
        <v>59</v>
      </c>
      <c r="O381" s="3" t="s">
        <v>57</v>
      </c>
    </row>
    <row r="382" spans="1:15" x14ac:dyDescent="0.3">
      <c r="A382" s="20">
        <v>46296.043923611112</v>
      </c>
      <c r="B382" s="21" t="s">
        <v>24</v>
      </c>
      <c r="C382" s="15">
        <v>28.567599999999999</v>
      </c>
      <c r="D382" s="1">
        <v>77.209599999999995</v>
      </c>
      <c r="E382" s="1" t="s">
        <v>25</v>
      </c>
      <c r="F382" s="1" t="s">
        <v>58</v>
      </c>
      <c r="G382" s="1" t="s">
        <v>18</v>
      </c>
      <c r="H382" s="1" t="s">
        <v>61</v>
      </c>
      <c r="I382" s="1" t="s">
        <v>20</v>
      </c>
      <c r="J382" s="1">
        <v>51</v>
      </c>
      <c r="K382" s="1" t="s">
        <v>21</v>
      </c>
      <c r="L382" s="2">
        <v>46303</v>
      </c>
      <c r="M382" s="1">
        <v>8</v>
      </c>
      <c r="N382" s="1" t="s">
        <v>59</v>
      </c>
      <c r="O382" s="3" t="s">
        <v>57</v>
      </c>
    </row>
    <row r="383" spans="1:15" x14ac:dyDescent="0.3">
      <c r="A383" s="22">
        <v>46296.043807870374</v>
      </c>
      <c r="B383" s="23" t="s">
        <v>29</v>
      </c>
      <c r="C383" s="15">
        <v>28.6328</v>
      </c>
      <c r="D383" s="1">
        <v>77.219499999999996</v>
      </c>
      <c r="E383" s="1" t="s">
        <v>16</v>
      </c>
      <c r="F383" s="1" t="s">
        <v>17</v>
      </c>
      <c r="G383" s="1" t="s">
        <v>18</v>
      </c>
      <c r="H383" s="1" t="s">
        <v>27</v>
      </c>
      <c r="I383" s="1" t="s">
        <v>20</v>
      </c>
      <c r="J383" s="1">
        <v>68</v>
      </c>
      <c r="K383" s="1" t="s">
        <v>39</v>
      </c>
      <c r="L383" s="2">
        <v>46303</v>
      </c>
      <c r="M383" s="1">
        <v>6</v>
      </c>
      <c r="N383" s="1" t="s">
        <v>59</v>
      </c>
      <c r="O383" s="3" t="s">
        <v>57</v>
      </c>
    </row>
    <row r="384" spans="1:15" x14ac:dyDescent="0.3">
      <c r="A384" s="20">
        <v>46296.043692129628</v>
      </c>
      <c r="B384" s="21" t="s">
        <v>54</v>
      </c>
      <c r="C384" s="15">
        <v>28.6328</v>
      </c>
      <c r="D384" s="1">
        <v>77.219499999999996</v>
      </c>
      <c r="E384" s="1" t="s">
        <v>16</v>
      </c>
      <c r="F384" s="1" t="s">
        <v>35</v>
      </c>
      <c r="G384" s="1" t="s">
        <v>18</v>
      </c>
      <c r="H384" s="1" t="s">
        <v>27</v>
      </c>
      <c r="I384" s="1" t="s">
        <v>36</v>
      </c>
      <c r="J384" s="1">
        <v>19</v>
      </c>
      <c r="K384" s="1" t="s">
        <v>34</v>
      </c>
      <c r="L384" s="2">
        <v>46303</v>
      </c>
      <c r="M384" s="1">
        <v>6</v>
      </c>
      <c r="N384" s="1" t="s">
        <v>59</v>
      </c>
      <c r="O384" s="3" t="s">
        <v>57</v>
      </c>
    </row>
    <row r="385" spans="1:15" x14ac:dyDescent="0.3">
      <c r="A385" s="22">
        <v>46296.043576388889</v>
      </c>
      <c r="B385" s="23" t="s">
        <v>46</v>
      </c>
      <c r="C385" s="15">
        <v>28.571400000000001</v>
      </c>
      <c r="D385" s="1">
        <v>77.281300000000002</v>
      </c>
      <c r="E385" s="1" t="s">
        <v>47</v>
      </c>
      <c r="F385" s="1" t="s">
        <v>48</v>
      </c>
      <c r="G385" s="1" t="s">
        <v>18</v>
      </c>
      <c r="H385" s="1" t="s">
        <v>19</v>
      </c>
      <c r="I385" s="1" t="s">
        <v>20</v>
      </c>
      <c r="J385" s="1">
        <v>48</v>
      </c>
      <c r="K385" s="1" t="s">
        <v>34</v>
      </c>
      <c r="L385" s="2">
        <v>46303</v>
      </c>
      <c r="M385" s="1">
        <v>5</v>
      </c>
      <c r="N385" s="1" t="s">
        <v>59</v>
      </c>
      <c r="O385" s="3" t="s">
        <v>23</v>
      </c>
    </row>
    <row r="386" spans="1:15" x14ac:dyDescent="0.3">
      <c r="A386" s="20">
        <v>46296.04346064815</v>
      </c>
      <c r="B386" s="21" t="s">
        <v>40</v>
      </c>
      <c r="C386" s="15">
        <v>28.6328</v>
      </c>
      <c r="D386" s="1">
        <v>77.219499999999996</v>
      </c>
      <c r="E386" s="1" t="s">
        <v>16</v>
      </c>
      <c r="F386" s="1" t="s">
        <v>53</v>
      </c>
      <c r="G386" s="1" t="s">
        <v>18</v>
      </c>
      <c r="H386" s="1" t="s">
        <v>19</v>
      </c>
      <c r="I386" s="1" t="s">
        <v>20</v>
      </c>
      <c r="J386" s="1">
        <v>47</v>
      </c>
      <c r="K386" s="1" t="s">
        <v>34</v>
      </c>
      <c r="L386" s="2">
        <v>46303</v>
      </c>
      <c r="M386" s="1">
        <v>4</v>
      </c>
      <c r="N386" s="1" t="s">
        <v>59</v>
      </c>
      <c r="O386" s="3" t="s">
        <v>23</v>
      </c>
    </row>
    <row r="387" spans="1:15" x14ac:dyDescent="0.3">
      <c r="A387" s="22">
        <v>46296.043344907404</v>
      </c>
      <c r="B387" s="23" t="s">
        <v>54</v>
      </c>
      <c r="C387" s="15">
        <v>28.5562</v>
      </c>
      <c r="D387" s="1">
        <v>77.099999999999994</v>
      </c>
      <c r="E387" s="1" t="s">
        <v>38</v>
      </c>
      <c r="F387" s="1" t="s">
        <v>26</v>
      </c>
      <c r="G387" s="1" t="s">
        <v>45</v>
      </c>
      <c r="H387" s="1" t="s">
        <v>32</v>
      </c>
      <c r="I387" s="1" t="s">
        <v>20</v>
      </c>
      <c r="J387" s="1">
        <v>62</v>
      </c>
      <c r="K387" s="1" t="s">
        <v>39</v>
      </c>
      <c r="L387" s="2">
        <v>46303</v>
      </c>
      <c r="M387" s="1">
        <v>3</v>
      </c>
      <c r="N387" s="1" t="s">
        <v>59</v>
      </c>
      <c r="O387" s="3" t="s">
        <v>23</v>
      </c>
    </row>
    <row r="388" spans="1:15" x14ac:dyDescent="0.3">
      <c r="A388" s="20">
        <v>46296.043229166666</v>
      </c>
      <c r="B388" s="21" t="s">
        <v>42</v>
      </c>
      <c r="C388" s="15">
        <v>28.6129</v>
      </c>
      <c r="D388" s="1">
        <v>77.229500000000002</v>
      </c>
      <c r="E388" s="1" t="s">
        <v>43</v>
      </c>
      <c r="F388" s="1" t="s">
        <v>26</v>
      </c>
      <c r="G388" s="1" t="s">
        <v>45</v>
      </c>
      <c r="H388" s="1" t="s">
        <v>19</v>
      </c>
      <c r="I388" s="1" t="s">
        <v>20</v>
      </c>
      <c r="J388" s="1">
        <v>46</v>
      </c>
      <c r="K388" s="1" t="s">
        <v>39</v>
      </c>
      <c r="L388" s="2">
        <v>46303</v>
      </c>
      <c r="M388" s="1">
        <v>3</v>
      </c>
      <c r="N388" s="1" t="s">
        <v>59</v>
      </c>
      <c r="O388" s="3" t="s">
        <v>23</v>
      </c>
    </row>
    <row r="389" spans="1:15" x14ac:dyDescent="0.3">
      <c r="A389" s="22">
        <v>46296.043113425927</v>
      </c>
      <c r="B389" s="23" t="s">
        <v>46</v>
      </c>
      <c r="C389" s="15">
        <v>28.6129</v>
      </c>
      <c r="D389" s="1">
        <v>77.229500000000002</v>
      </c>
      <c r="E389" s="1" t="s">
        <v>43</v>
      </c>
      <c r="F389" s="1" t="s">
        <v>26</v>
      </c>
      <c r="G389" s="1" t="s">
        <v>18</v>
      </c>
      <c r="H389" s="1" t="s">
        <v>32</v>
      </c>
      <c r="I389" s="1" t="s">
        <v>20</v>
      </c>
      <c r="J389" s="1">
        <v>52</v>
      </c>
      <c r="K389" s="1" t="s">
        <v>21</v>
      </c>
      <c r="L389" s="2">
        <v>46303</v>
      </c>
      <c r="M389" s="1">
        <v>1</v>
      </c>
      <c r="N389" s="1" t="s">
        <v>59</v>
      </c>
      <c r="O389" s="3" t="s">
        <v>23</v>
      </c>
    </row>
    <row r="390" spans="1:15" x14ac:dyDescent="0.3">
      <c r="A390" s="20">
        <v>46296.042997685188</v>
      </c>
      <c r="B390" s="21" t="s">
        <v>46</v>
      </c>
      <c r="C390" s="15">
        <v>28.656199999999998</v>
      </c>
      <c r="D390" s="1">
        <v>77.231499999999997</v>
      </c>
      <c r="E390" s="1" t="s">
        <v>55</v>
      </c>
      <c r="F390" s="1" t="s">
        <v>17</v>
      </c>
      <c r="G390" s="1" t="s">
        <v>31</v>
      </c>
      <c r="H390" s="1" t="s">
        <v>27</v>
      </c>
      <c r="I390" s="1" t="s">
        <v>20</v>
      </c>
      <c r="J390" s="1">
        <v>52</v>
      </c>
      <c r="K390" s="1" t="s">
        <v>34</v>
      </c>
      <c r="L390" s="2">
        <v>46303</v>
      </c>
      <c r="M390" s="1">
        <v>1</v>
      </c>
      <c r="N390" s="1" t="s">
        <v>59</v>
      </c>
      <c r="O390" s="3" t="s">
        <v>23</v>
      </c>
    </row>
    <row r="391" spans="1:15" x14ac:dyDescent="0.3">
      <c r="A391" s="22">
        <v>46296.042881944442</v>
      </c>
      <c r="B391" s="23" t="s">
        <v>37</v>
      </c>
      <c r="C391" s="15">
        <v>28.567599999999999</v>
      </c>
      <c r="D391" s="1">
        <v>77.209599999999995</v>
      </c>
      <c r="E391" s="1" t="s">
        <v>25</v>
      </c>
      <c r="F391" s="1" t="s">
        <v>44</v>
      </c>
      <c r="G391" s="1" t="s">
        <v>18</v>
      </c>
      <c r="H391" s="1" t="s">
        <v>61</v>
      </c>
      <c r="I391" s="1" t="s">
        <v>20</v>
      </c>
      <c r="J391" s="1">
        <v>53</v>
      </c>
      <c r="K391" s="1" t="s">
        <v>21</v>
      </c>
      <c r="L391" s="2">
        <v>46302</v>
      </c>
      <c r="M391" s="1">
        <v>18</v>
      </c>
      <c r="N391" s="1" t="s">
        <v>60</v>
      </c>
      <c r="O391" s="3" t="s">
        <v>28</v>
      </c>
    </row>
    <row r="392" spans="1:15" x14ac:dyDescent="0.3">
      <c r="A392" s="20">
        <v>46296.042766203704</v>
      </c>
      <c r="B392" s="21" t="s">
        <v>24</v>
      </c>
      <c r="C392" s="15">
        <v>28.656199999999998</v>
      </c>
      <c r="D392" s="1">
        <v>77.231499999999997</v>
      </c>
      <c r="E392" s="1" t="s">
        <v>55</v>
      </c>
      <c r="F392" s="1" t="s">
        <v>48</v>
      </c>
      <c r="G392" s="1" t="s">
        <v>45</v>
      </c>
      <c r="H392" s="1" t="s">
        <v>27</v>
      </c>
      <c r="I392" s="1" t="s">
        <v>20</v>
      </c>
      <c r="J392" s="1">
        <v>75</v>
      </c>
      <c r="K392" s="1" t="s">
        <v>21</v>
      </c>
      <c r="L392" s="2">
        <v>46302</v>
      </c>
      <c r="M392" s="1">
        <v>18</v>
      </c>
      <c r="N392" s="1" t="s">
        <v>60</v>
      </c>
      <c r="O392" s="3" t="s">
        <v>28</v>
      </c>
    </row>
    <row r="393" spans="1:15" x14ac:dyDescent="0.3">
      <c r="A393" s="22">
        <v>46296.042650462965</v>
      </c>
      <c r="B393" s="23" t="s">
        <v>46</v>
      </c>
      <c r="C393" s="15">
        <v>28.656199999999998</v>
      </c>
      <c r="D393" s="1">
        <v>77.231499999999997</v>
      </c>
      <c r="E393" s="1" t="s">
        <v>55</v>
      </c>
      <c r="F393" s="1" t="s">
        <v>58</v>
      </c>
      <c r="G393" s="1" t="s">
        <v>45</v>
      </c>
      <c r="H393" s="1" t="s">
        <v>61</v>
      </c>
      <c r="I393" s="1" t="s">
        <v>20</v>
      </c>
      <c r="J393" s="1">
        <v>38</v>
      </c>
      <c r="K393" s="1" t="s">
        <v>34</v>
      </c>
      <c r="L393" s="2">
        <v>46302</v>
      </c>
      <c r="M393" s="1">
        <v>18</v>
      </c>
      <c r="N393" s="1" t="s">
        <v>60</v>
      </c>
      <c r="O393" s="3" t="s">
        <v>28</v>
      </c>
    </row>
    <row r="394" spans="1:15" x14ac:dyDescent="0.3">
      <c r="A394" s="20">
        <v>46296.042534722219</v>
      </c>
      <c r="B394" s="21" t="s">
        <v>15</v>
      </c>
      <c r="C394" s="15">
        <v>28.545300000000001</v>
      </c>
      <c r="D394" s="1">
        <v>77.192499999999995</v>
      </c>
      <c r="E394" s="1" t="s">
        <v>41</v>
      </c>
      <c r="F394" s="1" t="s">
        <v>58</v>
      </c>
      <c r="G394" s="1" t="s">
        <v>45</v>
      </c>
      <c r="H394" s="1" t="s">
        <v>27</v>
      </c>
      <c r="I394" s="1" t="s">
        <v>20</v>
      </c>
      <c r="J394" s="1">
        <v>27</v>
      </c>
      <c r="K394" s="1" t="s">
        <v>34</v>
      </c>
      <c r="L394" s="2">
        <v>46302</v>
      </c>
      <c r="M394" s="1">
        <v>17</v>
      </c>
      <c r="N394" s="1" t="s">
        <v>60</v>
      </c>
      <c r="O394" s="3" t="s">
        <v>28</v>
      </c>
    </row>
    <row r="395" spans="1:15" x14ac:dyDescent="0.3">
      <c r="A395" s="22">
        <v>46296.04241898148</v>
      </c>
      <c r="B395" s="23" t="s">
        <v>29</v>
      </c>
      <c r="C395" s="15">
        <v>28.567599999999999</v>
      </c>
      <c r="D395" s="1">
        <v>77.209599999999995</v>
      </c>
      <c r="E395" s="1" t="s">
        <v>25</v>
      </c>
      <c r="F395" s="1" t="s">
        <v>48</v>
      </c>
      <c r="G395" s="1" t="s">
        <v>45</v>
      </c>
      <c r="H395" s="1" t="s">
        <v>27</v>
      </c>
      <c r="I395" s="1" t="s">
        <v>20</v>
      </c>
      <c r="J395" s="1">
        <v>19</v>
      </c>
      <c r="K395" s="1" t="s">
        <v>34</v>
      </c>
      <c r="L395" s="2">
        <v>46302</v>
      </c>
      <c r="M395" s="1">
        <v>12</v>
      </c>
      <c r="N395" s="1" t="s">
        <v>60</v>
      </c>
      <c r="O395" s="3" t="s">
        <v>51</v>
      </c>
    </row>
    <row r="396" spans="1:15" x14ac:dyDescent="0.3">
      <c r="A396" s="20">
        <v>46296.042303240742</v>
      </c>
      <c r="B396" s="21" t="s">
        <v>42</v>
      </c>
      <c r="C396" s="15">
        <v>28.6129</v>
      </c>
      <c r="D396" s="1">
        <v>77.229500000000002</v>
      </c>
      <c r="E396" s="1" t="s">
        <v>43</v>
      </c>
      <c r="F396" s="1" t="s">
        <v>35</v>
      </c>
      <c r="G396" s="1" t="s">
        <v>18</v>
      </c>
      <c r="H396" s="1" t="s">
        <v>32</v>
      </c>
      <c r="I396" s="1" t="s">
        <v>20</v>
      </c>
      <c r="J396" s="1">
        <v>33</v>
      </c>
      <c r="K396" s="1" t="s">
        <v>39</v>
      </c>
      <c r="L396" s="2">
        <v>46302</v>
      </c>
      <c r="M396" s="1">
        <v>8</v>
      </c>
      <c r="N396" s="1" t="s">
        <v>60</v>
      </c>
      <c r="O396" s="3" t="s">
        <v>57</v>
      </c>
    </row>
    <row r="397" spans="1:15" x14ac:dyDescent="0.3">
      <c r="A397" s="22">
        <v>46296.042187500003</v>
      </c>
      <c r="B397" s="23" t="s">
        <v>46</v>
      </c>
      <c r="C397" s="15">
        <v>28.632999999999999</v>
      </c>
      <c r="D397" s="1">
        <v>77.2196</v>
      </c>
      <c r="E397" s="1" t="s">
        <v>16</v>
      </c>
      <c r="F397" s="1" t="s">
        <v>44</v>
      </c>
      <c r="G397" s="1" t="s">
        <v>18</v>
      </c>
      <c r="H397" s="1" t="s">
        <v>27</v>
      </c>
      <c r="I397" s="1" t="s">
        <v>49</v>
      </c>
      <c r="J397" s="1">
        <v>35</v>
      </c>
      <c r="K397" s="1" t="s">
        <v>39</v>
      </c>
      <c r="L397" s="2">
        <v>46302</v>
      </c>
      <c r="M397" s="1">
        <v>7</v>
      </c>
      <c r="N397" s="1" t="s">
        <v>60</v>
      </c>
      <c r="O397" s="3" t="s">
        <v>57</v>
      </c>
    </row>
    <row r="398" spans="1:15" x14ac:dyDescent="0.3">
      <c r="A398" s="20">
        <v>46296.042071759257</v>
      </c>
      <c r="B398" s="21" t="s">
        <v>29</v>
      </c>
      <c r="C398" s="15">
        <v>28.632999999999999</v>
      </c>
      <c r="D398" s="1">
        <v>77.2196</v>
      </c>
      <c r="E398" s="1" t="s">
        <v>16</v>
      </c>
      <c r="F398" s="1" t="s">
        <v>17</v>
      </c>
      <c r="G398" s="1" t="s">
        <v>18</v>
      </c>
      <c r="H398" s="1" t="s">
        <v>27</v>
      </c>
      <c r="I398" s="1" t="s">
        <v>20</v>
      </c>
      <c r="J398" s="1">
        <v>51</v>
      </c>
      <c r="K398" s="1" t="s">
        <v>21</v>
      </c>
      <c r="L398" s="2">
        <v>46302</v>
      </c>
      <c r="M398" s="1">
        <v>6</v>
      </c>
      <c r="N398" s="1" t="s">
        <v>60</v>
      </c>
      <c r="O398" s="3" t="s">
        <v>57</v>
      </c>
    </row>
    <row r="399" spans="1:15" x14ac:dyDescent="0.3">
      <c r="A399" s="22">
        <v>46296.041956018518</v>
      </c>
      <c r="B399" s="23" t="s">
        <v>37</v>
      </c>
      <c r="C399" s="15">
        <v>28.545300000000001</v>
      </c>
      <c r="D399" s="1">
        <v>77.192499999999995</v>
      </c>
      <c r="E399" s="1" t="s">
        <v>41</v>
      </c>
      <c r="F399" s="1" t="s">
        <v>48</v>
      </c>
      <c r="G399" s="1" t="s">
        <v>18</v>
      </c>
      <c r="H399" s="1" t="s">
        <v>27</v>
      </c>
      <c r="I399" s="1" t="s">
        <v>20</v>
      </c>
      <c r="J399" s="1">
        <v>49</v>
      </c>
      <c r="K399" s="1" t="s">
        <v>39</v>
      </c>
      <c r="L399" s="2">
        <v>46302</v>
      </c>
      <c r="M399" s="1">
        <v>5</v>
      </c>
      <c r="N399" s="1" t="s">
        <v>60</v>
      </c>
      <c r="O399" s="3" t="s">
        <v>23</v>
      </c>
    </row>
    <row r="400" spans="1:15" x14ac:dyDescent="0.3">
      <c r="A400" s="20">
        <v>46296.04184027778</v>
      </c>
      <c r="B400" s="21" t="s">
        <v>42</v>
      </c>
      <c r="C400" s="15">
        <v>28.5562</v>
      </c>
      <c r="D400" s="1">
        <v>77.099999999999994</v>
      </c>
      <c r="E400" s="1" t="s">
        <v>38</v>
      </c>
      <c r="F400" s="1" t="s">
        <v>52</v>
      </c>
      <c r="G400" s="1" t="s">
        <v>50</v>
      </c>
      <c r="H400" s="1" t="s">
        <v>19</v>
      </c>
      <c r="I400" s="1" t="s">
        <v>56</v>
      </c>
      <c r="J400" s="1">
        <v>74</v>
      </c>
      <c r="K400" s="1" t="s">
        <v>34</v>
      </c>
      <c r="L400" s="2">
        <v>46302</v>
      </c>
      <c r="M400" s="1">
        <v>4</v>
      </c>
      <c r="N400" s="1" t="s">
        <v>60</v>
      </c>
      <c r="O400" s="3" t="s">
        <v>23</v>
      </c>
    </row>
    <row r="401" spans="1:15" x14ac:dyDescent="0.3">
      <c r="A401" s="22">
        <v>46296.041724537034</v>
      </c>
      <c r="B401" s="23" t="s">
        <v>46</v>
      </c>
      <c r="C401" s="15">
        <v>28.567599999999999</v>
      </c>
      <c r="D401" s="1">
        <v>77.209599999999995</v>
      </c>
      <c r="E401" s="1" t="s">
        <v>25</v>
      </c>
      <c r="F401" s="1" t="s">
        <v>48</v>
      </c>
      <c r="G401" s="1" t="s">
        <v>50</v>
      </c>
      <c r="H401" s="1" t="s">
        <v>19</v>
      </c>
      <c r="I401" s="1" t="s">
        <v>20</v>
      </c>
      <c r="J401" s="1">
        <v>30</v>
      </c>
      <c r="K401" s="1" t="s">
        <v>34</v>
      </c>
      <c r="L401" s="2">
        <v>46302</v>
      </c>
      <c r="M401" s="1">
        <v>3</v>
      </c>
      <c r="N401" s="1" t="s">
        <v>60</v>
      </c>
      <c r="O401" s="3" t="s">
        <v>23</v>
      </c>
    </row>
    <row r="402" spans="1:15" x14ac:dyDescent="0.3">
      <c r="A402" s="20">
        <v>46296.041608796295</v>
      </c>
      <c r="B402" s="21" t="s">
        <v>29</v>
      </c>
      <c r="C402" s="15">
        <v>28.656199999999998</v>
      </c>
      <c r="D402" s="1">
        <v>77.231499999999997</v>
      </c>
      <c r="E402" s="1" t="s">
        <v>55</v>
      </c>
      <c r="F402" s="1" t="s">
        <v>53</v>
      </c>
      <c r="G402" s="1" t="s">
        <v>18</v>
      </c>
      <c r="H402" s="1" t="s">
        <v>27</v>
      </c>
      <c r="I402" s="1" t="s">
        <v>33</v>
      </c>
      <c r="J402" s="1">
        <v>28</v>
      </c>
      <c r="K402" s="1" t="s">
        <v>39</v>
      </c>
      <c r="L402" s="2">
        <v>46302</v>
      </c>
      <c r="M402" s="1">
        <v>2</v>
      </c>
      <c r="N402" s="1" t="s">
        <v>60</v>
      </c>
      <c r="O402" s="3" t="s">
        <v>23</v>
      </c>
    </row>
    <row r="403" spans="1:15" x14ac:dyDescent="0.3">
      <c r="A403" s="22">
        <v>46296.041493055556</v>
      </c>
      <c r="B403" s="23" t="s">
        <v>15</v>
      </c>
      <c r="C403" s="15">
        <v>28.6129</v>
      </c>
      <c r="D403" s="1">
        <v>77.229500000000002</v>
      </c>
      <c r="E403" s="1" t="s">
        <v>43</v>
      </c>
      <c r="F403" s="1" t="s">
        <v>26</v>
      </c>
      <c r="G403" s="1" t="s">
        <v>45</v>
      </c>
      <c r="H403" s="1" t="s">
        <v>32</v>
      </c>
      <c r="I403" s="1" t="s">
        <v>20</v>
      </c>
      <c r="J403" s="1">
        <v>62</v>
      </c>
      <c r="K403" s="1" t="s">
        <v>34</v>
      </c>
      <c r="L403" s="2">
        <v>46302</v>
      </c>
      <c r="M403" s="1">
        <v>2</v>
      </c>
      <c r="N403" s="1" t="s">
        <v>60</v>
      </c>
      <c r="O403" s="3" t="s">
        <v>23</v>
      </c>
    </row>
    <row r="404" spans="1:15" x14ac:dyDescent="0.3">
      <c r="A404" s="20">
        <v>46296.041377314818</v>
      </c>
      <c r="B404" s="21" t="s">
        <v>37</v>
      </c>
      <c r="C404" s="15">
        <v>28.545300000000001</v>
      </c>
      <c r="D404" s="1">
        <v>77.192499999999995</v>
      </c>
      <c r="E404" s="1" t="s">
        <v>41</v>
      </c>
      <c r="F404" s="1" t="s">
        <v>30</v>
      </c>
      <c r="G404" s="1" t="s">
        <v>18</v>
      </c>
      <c r="H404" s="1" t="s">
        <v>27</v>
      </c>
      <c r="I404" s="1" t="s">
        <v>36</v>
      </c>
      <c r="J404" s="1">
        <v>62</v>
      </c>
      <c r="K404" s="1" t="s">
        <v>21</v>
      </c>
      <c r="L404" s="2">
        <v>46302</v>
      </c>
      <c r="M404" s="1">
        <v>1</v>
      </c>
      <c r="N404" s="1" t="s">
        <v>60</v>
      </c>
      <c r="O404" s="3" t="s">
        <v>23</v>
      </c>
    </row>
    <row r="405" spans="1:15" x14ac:dyDescent="0.3">
      <c r="A405" s="22">
        <v>46296.041261574072</v>
      </c>
      <c r="B405" s="23" t="s">
        <v>24</v>
      </c>
      <c r="C405" s="15">
        <v>28.656199999999998</v>
      </c>
      <c r="D405" s="1">
        <v>77.231499999999997</v>
      </c>
      <c r="E405" s="1" t="s">
        <v>55</v>
      </c>
      <c r="F405" s="1" t="s">
        <v>53</v>
      </c>
      <c r="G405" s="1" t="s">
        <v>18</v>
      </c>
      <c r="H405" s="1" t="s">
        <v>27</v>
      </c>
      <c r="I405" s="1" t="s">
        <v>33</v>
      </c>
      <c r="J405" s="1">
        <v>66</v>
      </c>
      <c r="K405" s="1" t="s">
        <v>21</v>
      </c>
      <c r="L405" s="2">
        <v>46302</v>
      </c>
      <c r="M405" s="1">
        <v>1</v>
      </c>
      <c r="N405" s="1" t="s">
        <v>60</v>
      </c>
      <c r="O405" s="3" t="s">
        <v>23</v>
      </c>
    </row>
    <row r="406" spans="1:15" x14ac:dyDescent="0.3">
      <c r="A406" s="20">
        <v>46296.041145833333</v>
      </c>
      <c r="B406" s="21" t="s">
        <v>46</v>
      </c>
      <c r="C406" s="15">
        <v>28.6129</v>
      </c>
      <c r="D406" s="1">
        <v>77.229500000000002</v>
      </c>
      <c r="E406" s="1" t="s">
        <v>43</v>
      </c>
      <c r="F406" s="1" t="s">
        <v>17</v>
      </c>
      <c r="G406" s="1" t="s">
        <v>18</v>
      </c>
      <c r="H406" s="1" t="s">
        <v>27</v>
      </c>
      <c r="I406" s="1" t="s">
        <v>20</v>
      </c>
      <c r="J406" s="1">
        <v>44</v>
      </c>
      <c r="K406" s="1" t="s">
        <v>34</v>
      </c>
      <c r="L406" s="2">
        <v>46302</v>
      </c>
      <c r="M406" s="1">
        <v>0</v>
      </c>
      <c r="N406" s="1" t="s">
        <v>60</v>
      </c>
      <c r="O406" s="3" t="s">
        <v>23</v>
      </c>
    </row>
    <row r="407" spans="1:15" x14ac:dyDescent="0.3">
      <c r="A407" s="22">
        <v>46296.041030092594</v>
      </c>
      <c r="B407" s="23" t="s">
        <v>42</v>
      </c>
      <c r="C407" s="15">
        <v>28.545300000000001</v>
      </c>
      <c r="D407" s="1">
        <v>77.192499999999995</v>
      </c>
      <c r="E407" s="1" t="s">
        <v>41</v>
      </c>
      <c r="F407" s="1" t="s">
        <v>58</v>
      </c>
      <c r="G407" s="1" t="s">
        <v>18</v>
      </c>
      <c r="H407" s="1" t="s">
        <v>32</v>
      </c>
      <c r="I407" s="1" t="s">
        <v>20</v>
      </c>
      <c r="J407" s="1">
        <v>30</v>
      </c>
      <c r="K407" s="1" t="s">
        <v>34</v>
      </c>
      <c r="L407" s="2">
        <v>46301</v>
      </c>
      <c r="M407" s="1">
        <v>23</v>
      </c>
      <c r="N407" s="1" t="s">
        <v>62</v>
      </c>
      <c r="O407" s="3" t="s">
        <v>23</v>
      </c>
    </row>
    <row r="408" spans="1:15" x14ac:dyDescent="0.3">
      <c r="A408" s="20">
        <v>46296.040914351855</v>
      </c>
      <c r="B408" s="21" t="s">
        <v>37</v>
      </c>
      <c r="C408" s="15">
        <v>28.567599999999999</v>
      </c>
      <c r="D408" s="1">
        <v>77.209599999999995</v>
      </c>
      <c r="E408" s="1" t="s">
        <v>25</v>
      </c>
      <c r="F408" s="1" t="s">
        <v>53</v>
      </c>
      <c r="G408" s="1" t="s">
        <v>50</v>
      </c>
      <c r="H408" s="1" t="s">
        <v>27</v>
      </c>
      <c r="I408" s="1" t="s">
        <v>49</v>
      </c>
      <c r="J408" s="1">
        <v>27</v>
      </c>
      <c r="K408" s="1" t="s">
        <v>21</v>
      </c>
      <c r="L408" s="2">
        <v>46301</v>
      </c>
      <c r="M408" s="1">
        <v>20</v>
      </c>
      <c r="N408" s="1" t="s">
        <v>62</v>
      </c>
      <c r="O408" s="3" t="s">
        <v>28</v>
      </c>
    </row>
    <row r="409" spans="1:15" x14ac:dyDescent="0.3">
      <c r="A409" s="22">
        <v>46296.040798611109</v>
      </c>
      <c r="B409" s="23" t="s">
        <v>54</v>
      </c>
      <c r="C409" s="15">
        <v>28.571400000000001</v>
      </c>
      <c r="D409" s="1">
        <v>77.281300000000002</v>
      </c>
      <c r="E409" s="1" t="s">
        <v>47</v>
      </c>
      <c r="F409" s="1" t="s">
        <v>30</v>
      </c>
      <c r="G409" s="1" t="s">
        <v>50</v>
      </c>
      <c r="H409" s="1" t="s">
        <v>19</v>
      </c>
      <c r="I409" s="1" t="s">
        <v>20</v>
      </c>
      <c r="J409" s="1">
        <v>37</v>
      </c>
      <c r="K409" s="1" t="s">
        <v>21</v>
      </c>
      <c r="L409" s="2">
        <v>46301</v>
      </c>
      <c r="M409" s="1">
        <v>20</v>
      </c>
      <c r="N409" s="1" t="s">
        <v>62</v>
      </c>
      <c r="O409" s="3" t="s">
        <v>28</v>
      </c>
    </row>
    <row r="410" spans="1:15" x14ac:dyDescent="0.3">
      <c r="A410" s="20">
        <v>46296.040682870371</v>
      </c>
      <c r="B410" s="21" t="s">
        <v>40</v>
      </c>
      <c r="C410" s="15">
        <v>28.6129</v>
      </c>
      <c r="D410" s="1">
        <v>77.229500000000002</v>
      </c>
      <c r="E410" s="1" t="s">
        <v>43</v>
      </c>
      <c r="F410" s="1" t="s">
        <v>30</v>
      </c>
      <c r="G410" s="1" t="s">
        <v>50</v>
      </c>
      <c r="H410" s="1" t="s">
        <v>32</v>
      </c>
      <c r="I410" s="1" t="s">
        <v>33</v>
      </c>
      <c r="J410" s="1">
        <v>66</v>
      </c>
      <c r="K410" s="1" t="s">
        <v>34</v>
      </c>
      <c r="L410" s="2">
        <v>46301</v>
      </c>
      <c r="M410" s="1">
        <v>20</v>
      </c>
      <c r="N410" s="1" t="s">
        <v>62</v>
      </c>
      <c r="O410" s="3" t="s">
        <v>28</v>
      </c>
    </row>
    <row r="411" spans="1:15" x14ac:dyDescent="0.3">
      <c r="A411" s="22">
        <v>46296.040567129632</v>
      </c>
      <c r="B411" s="23" t="s">
        <v>37</v>
      </c>
      <c r="C411" s="15">
        <v>28.567599999999999</v>
      </c>
      <c r="D411" s="1">
        <v>77.209599999999995</v>
      </c>
      <c r="E411" s="1" t="s">
        <v>25</v>
      </c>
      <c r="F411" s="1" t="s">
        <v>53</v>
      </c>
      <c r="G411" s="1" t="s">
        <v>18</v>
      </c>
      <c r="H411" s="1" t="s">
        <v>32</v>
      </c>
      <c r="I411" s="1" t="s">
        <v>49</v>
      </c>
      <c r="J411" s="1">
        <v>45</v>
      </c>
      <c r="K411" s="1" t="s">
        <v>34</v>
      </c>
      <c r="L411" s="2">
        <v>46301</v>
      </c>
      <c r="M411" s="1">
        <v>20</v>
      </c>
      <c r="N411" s="1" t="s">
        <v>62</v>
      </c>
      <c r="O411" s="3" t="s">
        <v>28</v>
      </c>
    </row>
    <row r="412" spans="1:15" x14ac:dyDescent="0.3">
      <c r="A412" s="20">
        <v>46296.040451388886</v>
      </c>
      <c r="B412" s="21" t="s">
        <v>40</v>
      </c>
      <c r="C412" s="15">
        <v>28.656199999999998</v>
      </c>
      <c r="D412" s="1">
        <v>77.231499999999997</v>
      </c>
      <c r="E412" s="1" t="s">
        <v>55</v>
      </c>
      <c r="F412" s="1" t="s">
        <v>17</v>
      </c>
      <c r="G412" s="1" t="s">
        <v>50</v>
      </c>
      <c r="H412" s="1" t="s">
        <v>27</v>
      </c>
      <c r="I412" s="1" t="s">
        <v>20</v>
      </c>
      <c r="J412" s="1">
        <v>29</v>
      </c>
      <c r="K412" s="1" t="s">
        <v>39</v>
      </c>
      <c r="L412" s="2">
        <v>46301</v>
      </c>
      <c r="M412" s="1">
        <v>19</v>
      </c>
      <c r="N412" s="1" t="s">
        <v>62</v>
      </c>
      <c r="O412" s="3" t="s">
        <v>28</v>
      </c>
    </row>
    <row r="413" spans="1:15" x14ac:dyDescent="0.3">
      <c r="A413" s="22">
        <v>46296.040335648147</v>
      </c>
      <c r="B413" s="23" t="s">
        <v>24</v>
      </c>
      <c r="C413" s="15">
        <v>28.632999999999999</v>
      </c>
      <c r="D413" s="1">
        <v>77.2196</v>
      </c>
      <c r="E413" s="1" t="s">
        <v>16</v>
      </c>
      <c r="F413" s="1" t="s">
        <v>52</v>
      </c>
      <c r="G413" s="1" t="s">
        <v>18</v>
      </c>
      <c r="H413" s="1" t="s">
        <v>19</v>
      </c>
      <c r="I413" s="1" t="s">
        <v>36</v>
      </c>
      <c r="J413" s="1">
        <v>30</v>
      </c>
      <c r="K413" s="1" t="s">
        <v>39</v>
      </c>
      <c r="L413" s="2">
        <v>46301</v>
      </c>
      <c r="M413" s="1">
        <v>15</v>
      </c>
      <c r="N413" s="1" t="s">
        <v>62</v>
      </c>
      <c r="O413" s="3" t="s">
        <v>51</v>
      </c>
    </row>
    <row r="414" spans="1:15" x14ac:dyDescent="0.3">
      <c r="A414" s="20">
        <v>46296.040219907409</v>
      </c>
      <c r="B414" s="21" t="s">
        <v>15</v>
      </c>
      <c r="C414" s="15">
        <v>28.656199999999998</v>
      </c>
      <c r="D414" s="1">
        <v>77.231499999999997</v>
      </c>
      <c r="E414" s="1" t="s">
        <v>55</v>
      </c>
      <c r="F414" s="1" t="s">
        <v>30</v>
      </c>
      <c r="G414" s="1" t="s">
        <v>18</v>
      </c>
      <c r="H414" s="1" t="s">
        <v>19</v>
      </c>
      <c r="I414" s="1" t="s">
        <v>36</v>
      </c>
      <c r="J414" s="1">
        <v>73</v>
      </c>
      <c r="K414" s="1" t="s">
        <v>39</v>
      </c>
      <c r="L414" s="2">
        <v>46301</v>
      </c>
      <c r="M414" s="1">
        <v>13</v>
      </c>
      <c r="N414" s="1" t="s">
        <v>62</v>
      </c>
      <c r="O414" s="3" t="s">
        <v>51</v>
      </c>
    </row>
    <row r="415" spans="1:15" x14ac:dyDescent="0.3">
      <c r="A415" s="22">
        <v>46296.04010416667</v>
      </c>
      <c r="B415" s="23" t="s">
        <v>54</v>
      </c>
      <c r="C415" s="15">
        <v>28.6328</v>
      </c>
      <c r="D415" s="1">
        <v>77.219499999999996</v>
      </c>
      <c r="E415" s="1" t="s">
        <v>16</v>
      </c>
      <c r="F415" s="1" t="s">
        <v>52</v>
      </c>
      <c r="G415" s="1" t="s">
        <v>45</v>
      </c>
      <c r="H415" s="1" t="s">
        <v>32</v>
      </c>
      <c r="I415" s="1" t="s">
        <v>33</v>
      </c>
      <c r="J415" s="1">
        <v>53</v>
      </c>
      <c r="K415" s="1" t="s">
        <v>39</v>
      </c>
      <c r="L415" s="2">
        <v>46301</v>
      </c>
      <c r="M415" s="1">
        <v>12</v>
      </c>
      <c r="N415" s="1" t="s">
        <v>62</v>
      </c>
      <c r="O415" s="3" t="s">
        <v>51</v>
      </c>
    </row>
    <row r="416" spans="1:15" x14ac:dyDescent="0.3">
      <c r="A416" s="20">
        <v>46296.039988425924</v>
      </c>
      <c r="B416" s="21" t="s">
        <v>46</v>
      </c>
      <c r="C416" s="15">
        <v>28.567599999999999</v>
      </c>
      <c r="D416" s="1">
        <v>77.209599999999995</v>
      </c>
      <c r="E416" s="1" t="s">
        <v>25</v>
      </c>
      <c r="F416" s="1" t="s">
        <v>30</v>
      </c>
      <c r="G416" s="1" t="s">
        <v>31</v>
      </c>
      <c r="H416" s="1" t="s">
        <v>19</v>
      </c>
      <c r="I416" s="1" t="s">
        <v>56</v>
      </c>
      <c r="J416" s="1">
        <v>69</v>
      </c>
      <c r="K416" s="1" t="s">
        <v>34</v>
      </c>
      <c r="L416" s="2">
        <v>46301</v>
      </c>
      <c r="M416" s="1">
        <v>11</v>
      </c>
      <c r="N416" s="1" t="s">
        <v>62</v>
      </c>
      <c r="O416" s="3" t="s">
        <v>57</v>
      </c>
    </row>
    <row r="417" spans="1:15" x14ac:dyDescent="0.3">
      <c r="A417" s="22">
        <v>46296.039872685185</v>
      </c>
      <c r="B417" s="23" t="s">
        <v>40</v>
      </c>
      <c r="C417" s="15">
        <v>28.545300000000001</v>
      </c>
      <c r="D417" s="1">
        <v>77.192499999999995</v>
      </c>
      <c r="E417" s="1" t="s">
        <v>41</v>
      </c>
      <c r="F417" s="1" t="s">
        <v>48</v>
      </c>
      <c r="G417" s="1" t="s">
        <v>45</v>
      </c>
      <c r="H417" s="1" t="s">
        <v>32</v>
      </c>
      <c r="I417" s="1" t="s">
        <v>20</v>
      </c>
      <c r="J417" s="1">
        <v>51</v>
      </c>
      <c r="K417" s="1" t="s">
        <v>34</v>
      </c>
      <c r="L417" s="2">
        <v>46301</v>
      </c>
      <c r="M417" s="1">
        <v>10</v>
      </c>
      <c r="N417" s="1" t="s">
        <v>62</v>
      </c>
      <c r="O417" s="3" t="s">
        <v>57</v>
      </c>
    </row>
    <row r="418" spans="1:15" x14ac:dyDescent="0.3">
      <c r="A418" s="20">
        <v>46296.039756944447</v>
      </c>
      <c r="B418" s="21" t="s">
        <v>37</v>
      </c>
      <c r="C418" s="15">
        <v>28.571400000000001</v>
      </c>
      <c r="D418" s="1">
        <v>77.281300000000002</v>
      </c>
      <c r="E418" s="1" t="s">
        <v>47</v>
      </c>
      <c r="F418" s="1" t="s">
        <v>26</v>
      </c>
      <c r="G418" s="1" t="s">
        <v>45</v>
      </c>
      <c r="H418" s="1" t="s">
        <v>27</v>
      </c>
      <c r="I418" s="1" t="s">
        <v>20</v>
      </c>
      <c r="J418" s="1">
        <v>57</v>
      </c>
      <c r="K418" s="1" t="s">
        <v>21</v>
      </c>
      <c r="L418" s="2">
        <v>46301</v>
      </c>
      <c r="M418" s="1">
        <v>5</v>
      </c>
      <c r="N418" s="1" t="s">
        <v>62</v>
      </c>
      <c r="O418" s="3" t="s">
        <v>23</v>
      </c>
    </row>
    <row r="419" spans="1:15" x14ac:dyDescent="0.3">
      <c r="A419" s="22">
        <v>46296.039641203701</v>
      </c>
      <c r="B419" s="23" t="s">
        <v>24</v>
      </c>
      <c r="C419" s="15">
        <v>28.656199999999998</v>
      </c>
      <c r="D419" s="1">
        <v>77.231499999999997</v>
      </c>
      <c r="E419" s="1" t="s">
        <v>55</v>
      </c>
      <c r="F419" s="1" t="s">
        <v>26</v>
      </c>
      <c r="G419" s="1" t="s">
        <v>18</v>
      </c>
      <c r="H419" s="1" t="s">
        <v>27</v>
      </c>
      <c r="I419" s="1" t="s">
        <v>20</v>
      </c>
      <c r="J419" s="1">
        <v>61</v>
      </c>
      <c r="K419" s="1" t="s">
        <v>34</v>
      </c>
      <c r="L419" s="2">
        <v>46301</v>
      </c>
      <c r="M419" s="1">
        <v>4</v>
      </c>
      <c r="N419" s="1" t="s">
        <v>62</v>
      </c>
      <c r="O419" s="3" t="s">
        <v>23</v>
      </c>
    </row>
    <row r="420" spans="1:15" x14ac:dyDescent="0.3">
      <c r="A420" s="20">
        <v>46296.039525462962</v>
      </c>
      <c r="B420" s="21" t="s">
        <v>37</v>
      </c>
      <c r="C420" s="15">
        <v>28.5562</v>
      </c>
      <c r="D420" s="1">
        <v>77.099999999999994</v>
      </c>
      <c r="E420" s="1" t="s">
        <v>38</v>
      </c>
      <c r="F420" s="1" t="s">
        <v>26</v>
      </c>
      <c r="G420" s="1" t="s">
        <v>18</v>
      </c>
      <c r="H420" s="1" t="s">
        <v>27</v>
      </c>
      <c r="I420" s="1" t="s">
        <v>20</v>
      </c>
      <c r="J420" s="1">
        <v>24</v>
      </c>
      <c r="K420" s="1" t="s">
        <v>34</v>
      </c>
      <c r="L420" s="2">
        <v>46301</v>
      </c>
      <c r="M420" s="1">
        <v>2</v>
      </c>
      <c r="N420" s="1" t="s">
        <v>62</v>
      </c>
      <c r="O420" s="3" t="s">
        <v>23</v>
      </c>
    </row>
    <row r="421" spans="1:15" x14ac:dyDescent="0.3">
      <c r="A421" s="22">
        <v>46296.039409722223</v>
      </c>
      <c r="B421" s="23" t="s">
        <v>54</v>
      </c>
      <c r="C421" s="15">
        <v>28.5562</v>
      </c>
      <c r="D421" s="1">
        <v>77.099999999999994</v>
      </c>
      <c r="E421" s="1" t="s">
        <v>38</v>
      </c>
      <c r="F421" s="1" t="s">
        <v>17</v>
      </c>
      <c r="G421" s="1" t="s">
        <v>18</v>
      </c>
      <c r="H421" s="1" t="s">
        <v>19</v>
      </c>
      <c r="I421" s="1" t="s">
        <v>20</v>
      </c>
      <c r="J421" s="1">
        <v>44</v>
      </c>
      <c r="K421" s="1" t="s">
        <v>39</v>
      </c>
      <c r="L421" s="2">
        <v>46301</v>
      </c>
      <c r="M421" s="1">
        <v>1</v>
      </c>
      <c r="N421" s="1" t="s">
        <v>62</v>
      </c>
      <c r="O421" s="3" t="s">
        <v>23</v>
      </c>
    </row>
    <row r="422" spans="1:15" x14ac:dyDescent="0.3">
      <c r="A422" s="20">
        <v>46296.039293981485</v>
      </c>
      <c r="B422" s="21" t="s">
        <v>15</v>
      </c>
      <c r="C422" s="15">
        <v>28.567599999999999</v>
      </c>
      <c r="D422" s="1">
        <v>77.209599999999995</v>
      </c>
      <c r="E422" s="1" t="s">
        <v>25</v>
      </c>
      <c r="F422" s="1" t="s">
        <v>48</v>
      </c>
      <c r="G422" s="1" t="s">
        <v>45</v>
      </c>
      <c r="H422" s="1" t="s">
        <v>19</v>
      </c>
      <c r="I422" s="1" t="s">
        <v>20</v>
      </c>
      <c r="J422" s="1">
        <v>75</v>
      </c>
      <c r="K422" s="1" t="s">
        <v>39</v>
      </c>
      <c r="L422" s="2">
        <v>46300</v>
      </c>
      <c r="M422" s="1">
        <v>23</v>
      </c>
      <c r="N422" s="1" t="s">
        <v>63</v>
      </c>
      <c r="O422" s="3" t="s">
        <v>23</v>
      </c>
    </row>
    <row r="423" spans="1:15" x14ac:dyDescent="0.3">
      <c r="A423" s="22">
        <v>46296.039178240739</v>
      </c>
      <c r="B423" s="23" t="s">
        <v>46</v>
      </c>
      <c r="C423" s="15">
        <v>28.5562</v>
      </c>
      <c r="D423" s="1">
        <v>77.099999999999994</v>
      </c>
      <c r="E423" s="1" t="s">
        <v>38</v>
      </c>
      <c r="F423" s="1" t="s">
        <v>48</v>
      </c>
      <c r="G423" s="1" t="s">
        <v>18</v>
      </c>
      <c r="H423" s="1" t="s">
        <v>27</v>
      </c>
      <c r="I423" s="1" t="s">
        <v>20</v>
      </c>
      <c r="J423" s="1">
        <v>38</v>
      </c>
      <c r="K423" s="1" t="s">
        <v>39</v>
      </c>
      <c r="L423" s="2">
        <v>46300</v>
      </c>
      <c r="M423" s="1">
        <v>21</v>
      </c>
      <c r="N423" s="1" t="s">
        <v>63</v>
      </c>
      <c r="O423" s="3" t="s">
        <v>23</v>
      </c>
    </row>
    <row r="424" spans="1:15" x14ac:dyDescent="0.3">
      <c r="A424" s="20">
        <v>46296.0390625</v>
      </c>
      <c r="B424" s="21" t="s">
        <v>15</v>
      </c>
      <c r="C424" s="15">
        <v>28.571400000000001</v>
      </c>
      <c r="D424" s="1">
        <v>77.281300000000002</v>
      </c>
      <c r="E424" s="1" t="s">
        <v>47</v>
      </c>
      <c r="F424" s="1" t="s">
        <v>17</v>
      </c>
      <c r="G424" s="1" t="s">
        <v>18</v>
      </c>
      <c r="H424" s="1" t="s">
        <v>19</v>
      </c>
      <c r="I424" s="1" t="s">
        <v>20</v>
      </c>
      <c r="J424" s="1">
        <v>18</v>
      </c>
      <c r="K424" s="1" t="s">
        <v>39</v>
      </c>
      <c r="L424" s="2">
        <v>46300</v>
      </c>
      <c r="M424" s="1">
        <v>13</v>
      </c>
      <c r="N424" s="1" t="s">
        <v>63</v>
      </c>
      <c r="O424" s="3" t="s">
        <v>51</v>
      </c>
    </row>
    <row r="425" spans="1:15" x14ac:dyDescent="0.3">
      <c r="A425" s="22">
        <v>46296.038946759261</v>
      </c>
      <c r="B425" s="23" t="s">
        <v>42</v>
      </c>
      <c r="C425" s="15">
        <v>28.545300000000001</v>
      </c>
      <c r="D425" s="1">
        <v>77.192499999999995</v>
      </c>
      <c r="E425" s="1" t="s">
        <v>41</v>
      </c>
      <c r="F425" s="1" t="s">
        <v>52</v>
      </c>
      <c r="G425" s="1" t="s">
        <v>45</v>
      </c>
      <c r="H425" s="1" t="s">
        <v>61</v>
      </c>
      <c r="I425" s="1" t="s">
        <v>20</v>
      </c>
      <c r="J425" s="1">
        <v>64</v>
      </c>
      <c r="K425" s="1" t="s">
        <v>34</v>
      </c>
      <c r="L425" s="2">
        <v>46300</v>
      </c>
      <c r="M425" s="1">
        <v>13</v>
      </c>
      <c r="N425" s="1" t="s">
        <v>63</v>
      </c>
      <c r="O425" s="3" t="s">
        <v>51</v>
      </c>
    </row>
    <row r="426" spans="1:15" x14ac:dyDescent="0.3">
      <c r="A426" s="20">
        <v>46296.038831018515</v>
      </c>
      <c r="B426" s="21" t="s">
        <v>29</v>
      </c>
      <c r="C426" s="15">
        <v>28.5562</v>
      </c>
      <c r="D426" s="1">
        <v>77.099999999999994</v>
      </c>
      <c r="E426" s="1" t="s">
        <v>38</v>
      </c>
      <c r="F426" s="1" t="s">
        <v>35</v>
      </c>
      <c r="G426" s="1" t="s">
        <v>18</v>
      </c>
      <c r="H426" s="1" t="s">
        <v>61</v>
      </c>
      <c r="I426" s="1" t="s">
        <v>20</v>
      </c>
      <c r="J426" s="1">
        <v>34</v>
      </c>
      <c r="K426" s="1" t="s">
        <v>21</v>
      </c>
      <c r="L426" s="2">
        <v>46300</v>
      </c>
      <c r="M426" s="1">
        <v>8</v>
      </c>
      <c r="N426" s="1" t="s">
        <v>63</v>
      </c>
      <c r="O426" s="3" t="s">
        <v>57</v>
      </c>
    </row>
    <row r="427" spans="1:15" x14ac:dyDescent="0.3">
      <c r="A427" s="22">
        <v>46296.038715277777</v>
      </c>
      <c r="B427" s="23" t="s">
        <v>15</v>
      </c>
      <c r="C427" s="15">
        <v>28.6328</v>
      </c>
      <c r="D427" s="1">
        <v>77.219499999999996</v>
      </c>
      <c r="E427" s="1" t="s">
        <v>16</v>
      </c>
      <c r="F427" s="1" t="s">
        <v>26</v>
      </c>
      <c r="G427" s="1" t="s">
        <v>18</v>
      </c>
      <c r="H427" s="1" t="s">
        <v>19</v>
      </c>
      <c r="I427" s="1" t="s">
        <v>20</v>
      </c>
      <c r="J427" s="1">
        <v>21</v>
      </c>
      <c r="K427" s="1" t="s">
        <v>34</v>
      </c>
      <c r="L427" s="2">
        <v>46300</v>
      </c>
      <c r="M427" s="1">
        <v>7</v>
      </c>
      <c r="N427" s="1" t="s">
        <v>63</v>
      </c>
      <c r="O427" s="3" t="s">
        <v>57</v>
      </c>
    </row>
    <row r="428" spans="1:15" x14ac:dyDescent="0.3">
      <c r="A428" s="20">
        <v>46296.038599537038</v>
      </c>
      <c r="B428" s="21" t="s">
        <v>29</v>
      </c>
      <c r="C428" s="15">
        <v>28.571400000000001</v>
      </c>
      <c r="D428" s="1">
        <v>77.281300000000002</v>
      </c>
      <c r="E428" s="1" t="s">
        <v>47</v>
      </c>
      <c r="F428" s="1" t="s">
        <v>58</v>
      </c>
      <c r="G428" s="1" t="s">
        <v>50</v>
      </c>
      <c r="H428" s="1" t="s">
        <v>32</v>
      </c>
      <c r="I428" s="1" t="s">
        <v>20</v>
      </c>
      <c r="J428" s="1">
        <v>62</v>
      </c>
      <c r="K428" s="1" t="s">
        <v>21</v>
      </c>
      <c r="L428" s="2">
        <v>46300</v>
      </c>
      <c r="M428" s="1">
        <v>5</v>
      </c>
      <c r="N428" s="1" t="s">
        <v>63</v>
      </c>
      <c r="O428" s="3" t="s">
        <v>23</v>
      </c>
    </row>
    <row r="429" spans="1:15" x14ac:dyDescent="0.3">
      <c r="A429" s="22">
        <v>46296.038483796299</v>
      </c>
      <c r="B429" s="23" t="s">
        <v>24</v>
      </c>
      <c r="C429" s="15">
        <v>28.656199999999998</v>
      </c>
      <c r="D429" s="1">
        <v>77.231499999999997</v>
      </c>
      <c r="E429" s="1" t="s">
        <v>55</v>
      </c>
      <c r="F429" s="1" t="s">
        <v>30</v>
      </c>
      <c r="G429" s="1" t="s">
        <v>18</v>
      </c>
      <c r="H429" s="1" t="s">
        <v>27</v>
      </c>
      <c r="I429" s="1" t="s">
        <v>56</v>
      </c>
      <c r="J429" s="1">
        <v>39</v>
      </c>
      <c r="K429" s="1" t="s">
        <v>21</v>
      </c>
      <c r="L429" s="2">
        <v>46300</v>
      </c>
      <c r="M429" s="1">
        <v>3</v>
      </c>
      <c r="N429" s="1" t="s">
        <v>63</v>
      </c>
      <c r="O429" s="3" t="s">
        <v>23</v>
      </c>
    </row>
    <row r="430" spans="1:15" x14ac:dyDescent="0.3">
      <c r="A430" s="20">
        <v>46296.038368055553</v>
      </c>
      <c r="B430" s="21" t="s">
        <v>46</v>
      </c>
      <c r="C430" s="15">
        <v>28.6129</v>
      </c>
      <c r="D430" s="1">
        <v>77.229500000000002</v>
      </c>
      <c r="E430" s="1" t="s">
        <v>43</v>
      </c>
      <c r="F430" s="1" t="s">
        <v>26</v>
      </c>
      <c r="G430" s="1" t="s">
        <v>18</v>
      </c>
      <c r="H430" s="1" t="s">
        <v>27</v>
      </c>
      <c r="I430" s="1" t="s">
        <v>20</v>
      </c>
      <c r="J430" s="1">
        <v>41</v>
      </c>
      <c r="K430" s="1" t="s">
        <v>34</v>
      </c>
      <c r="L430" s="2">
        <v>46300</v>
      </c>
      <c r="M430" s="1">
        <v>3</v>
      </c>
      <c r="N430" s="1" t="s">
        <v>63</v>
      </c>
      <c r="O430" s="3" t="s">
        <v>23</v>
      </c>
    </row>
    <row r="431" spans="1:15" x14ac:dyDescent="0.3">
      <c r="A431" s="22">
        <v>46296.038252314815</v>
      </c>
      <c r="B431" s="23" t="s">
        <v>24</v>
      </c>
      <c r="C431" s="15">
        <v>28.656199999999998</v>
      </c>
      <c r="D431" s="1">
        <v>77.231499999999997</v>
      </c>
      <c r="E431" s="1" t="s">
        <v>55</v>
      </c>
      <c r="F431" s="1" t="s">
        <v>26</v>
      </c>
      <c r="G431" s="1" t="s">
        <v>45</v>
      </c>
      <c r="H431" s="1" t="s">
        <v>27</v>
      </c>
      <c r="I431" s="1" t="s">
        <v>20</v>
      </c>
      <c r="J431" s="1">
        <v>68</v>
      </c>
      <c r="K431" s="1" t="s">
        <v>39</v>
      </c>
      <c r="L431" s="2">
        <v>46300</v>
      </c>
      <c r="M431" s="1">
        <v>3</v>
      </c>
      <c r="N431" s="1" t="s">
        <v>63</v>
      </c>
      <c r="O431" s="3" t="s">
        <v>23</v>
      </c>
    </row>
    <row r="432" spans="1:15" x14ac:dyDescent="0.3">
      <c r="A432" s="20">
        <v>46296.038136574076</v>
      </c>
      <c r="B432" s="21" t="s">
        <v>37</v>
      </c>
      <c r="C432" s="15">
        <v>28.632999999999999</v>
      </c>
      <c r="D432" s="1">
        <v>77.2196</v>
      </c>
      <c r="E432" s="1" t="s">
        <v>16</v>
      </c>
      <c r="F432" s="1" t="s">
        <v>53</v>
      </c>
      <c r="G432" s="1" t="s">
        <v>18</v>
      </c>
      <c r="H432" s="1" t="s">
        <v>27</v>
      </c>
      <c r="I432" s="1" t="s">
        <v>36</v>
      </c>
      <c r="J432" s="1">
        <v>18</v>
      </c>
      <c r="K432" s="1" t="s">
        <v>21</v>
      </c>
      <c r="L432" s="2">
        <v>46300</v>
      </c>
      <c r="M432" s="1">
        <v>1</v>
      </c>
      <c r="N432" s="1" t="s">
        <v>63</v>
      </c>
      <c r="O432" s="3" t="s">
        <v>23</v>
      </c>
    </row>
    <row r="433" spans="1:15" x14ac:dyDescent="0.3">
      <c r="A433" s="22">
        <v>46296.03802083333</v>
      </c>
      <c r="B433" s="23" t="s">
        <v>24</v>
      </c>
      <c r="C433" s="15">
        <v>28.545300000000001</v>
      </c>
      <c r="D433" s="1">
        <v>77.192499999999995</v>
      </c>
      <c r="E433" s="1" t="s">
        <v>41</v>
      </c>
      <c r="F433" s="1" t="s">
        <v>52</v>
      </c>
      <c r="G433" s="1" t="s">
        <v>45</v>
      </c>
      <c r="H433" s="1" t="s">
        <v>27</v>
      </c>
      <c r="I433" s="1" t="s">
        <v>49</v>
      </c>
      <c r="J433" s="1">
        <v>23</v>
      </c>
      <c r="K433" s="1" t="s">
        <v>21</v>
      </c>
      <c r="L433" s="2">
        <v>46300</v>
      </c>
      <c r="M433" s="1">
        <v>0</v>
      </c>
      <c r="N433" s="1" t="s">
        <v>63</v>
      </c>
      <c r="O433" s="3" t="s">
        <v>23</v>
      </c>
    </row>
    <row r="434" spans="1:15" x14ac:dyDescent="0.3">
      <c r="A434" s="20">
        <v>46296.037905092591</v>
      </c>
      <c r="B434" s="21" t="s">
        <v>15</v>
      </c>
      <c r="C434" s="15">
        <v>28.656199999999998</v>
      </c>
      <c r="D434" s="1">
        <v>77.231499999999997</v>
      </c>
      <c r="E434" s="1" t="s">
        <v>55</v>
      </c>
      <c r="F434" s="1" t="s">
        <v>26</v>
      </c>
      <c r="G434" s="1" t="s">
        <v>45</v>
      </c>
      <c r="H434" s="1" t="s">
        <v>27</v>
      </c>
      <c r="I434" s="1" t="s">
        <v>20</v>
      </c>
      <c r="J434" s="1">
        <v>22</v>
      </c>
      <c r="K434" s="1" t="s">
        <v>39</v>
      </c>
      <c r="L434" s="2">
        <v>46299</v>
      </c>
      <c r="M434" s="1">
        <v>20</v>
      </c>
      <c r="N434" s="1" t="s">
        <v>64</v>
      </c>
      <c r="O434" s="3" t="s">
        <v>28</v>
      </c>
    </row>
    <row r="435" spans="1:15" x14ac:dyDescent="0.3">
      <c r="A435" s="22">
        <v>46296.037789351853</v>
      </c>
      <c r="B435" s="23" t="s">
        <v>46</v>
      </c>
      <c r="C435" s="15">
        <v>28.632999999999999</v>
      </c>
      <c r="D435" s="1">
        <v>77.2196</v>
      </c>
      <c r="E435" s="1" t="s">
        <v>16</v>
      </c>
      <c r="F435" s="1" t="s">
        <v>30</v>
      </c>
      <c r="G435" s="1" t="s">
        <v>31</v>
      </c>
      <c r="H435" s="1" t="s">
        <v>32</v>
      </c>
      <c r="I435" s="1" t="s">
        <v>33</v>
      </c>
      <c r="J435" s="1">
        <v>42</v>
      </c>
      <c r="K435" s="1" t="s">
        <v>21</v>
      </c>
      <c r="L435" s="2">
        <v>46299</v>
      </c>
      <c r="M435" s="1">
        <v>19</v>
      </c>
      <c r="N435" s="1" t="s">
        <v>64</v>
      </c>
      <c r="O435" s="3" t="s">
        <v>28</v>
      </c>
    </row>
    <row r="436" spans="1:15" x14ac:dyDescent="0.3">
      <c r="A436" s="20">
        <v>46296.037673611114</v>
      </c>
      <c r="B436" s="21" t="s">
        <v>15</v>
      </c>
      <c r="C436" s="15">
        <v>28.571400000000001</v>
      </c>
      <c r="D436" s="1">
        <v>77.281300000000002</v>
      </c>
      <c r="E436" s="1" t="s">
        <v>47</v>
      </c>
      <c r="F436" s="1" t="s">
        <v>48</v>
      </c>
      <c r="G436" s="1" t="s">
        <v>18</v>
      </c>
      <c r="H436" s="1" t="s">
        <v>19</v>
      </c>
      <c r="I436" s="1" t="s">
        <v>20</v>
      </c>
      <c r="J436" s="1">
        <v>58</v>
      </c>
      <c r="K436" s="1" t="s">
        <v>21</v>
      </c>
      <c r="L436" s="2">
        <v>46299</v>
      </c>
      <c r="M436" s="1">
        <v>18</v>
      </c>
      <c r="N436" s="1" t="s">
        <v>64</v>
      </c>
      <c r="O436" s="3" t="s">
        <v>28</v>
      </c>
    </row>
    <row r="437" spans="1:15" x14ac:dyDescent="0.3">
      <c r="A437" s="22">
        <v>46296.037557870368</v>
      </c>
      <c r="B437" s="23" t="s">
        <v>24</v>
      </c>
      <c r="C437" s="15">
        <v>28.5562</v>
      </c>
      <c r="D437" s="1">
        <v>77.099999999999994</v>
      </c>
      <c r="E437" s="1" t="s">
        <v>38</v>
      </c>
      <c r="F437" s="1" t="s">
        <v>35</v>
      </c>
      <c r="G437" s="1" t="s">
        <v>18</v>
      </c>
      <c r="H437" s="1" t="s">
        <v>32</v>
      </c>
      <c r="I437" s="1" t="s">
        <v>56</v>
      </c>
      <c r="J437" s="1">
        <v>37</v>
      </c>
      <c r="K437" s="1" t="s">
        <v>39</v>
      </c>
      <c r="L437" s="2">
        <v>46299</v>
      </c>
      <c r="M437" s="1">
        <v>14</v>
      </c>
      <c r="N437" s="1" t="s">
        <v>64</v>
      </c>
      <c r="O437" s="3" t="s">
        <v>51</v>
      </c>
    </row>
    <row r="438" spans="1:15" x14ac:dyDescent="0.3">
      <c r="A438" s="20">
        <v>46296.037442129629</v>
      </c>
      <c r="B438" s="21" t="s">
        <v>15</v>
      </c>
      <c r="C438" s="15">
        <v>28.5562</v>
      </c>
      <c r="D438" s="1">
        <v>77.099999999999994</v>
      </c>
      <c r="E438" s="1" t="s">
        <v>38</v>
      </c>
      <c r="F438" s="1" t="s">
        <v>44</v>
      </c>
      <c r="G438" s="1" t="s">
        <v>31</v>
      </c>
      <c r="H438" s="1" t="s">
        <v>27</v>
      </c>
      <c r="I438" s="1" t="s">
        <v>33</v>
      </c>
      <c r="J438" s="1">
        <v>24</v>
      </c>
      <c r="K438" s="1" t="s">
        <v>34</v>
      </c>
      <c r="L438" s="2">
        <v>46299</v>
      </c>
      <c r="M438" s="1">
        <v>14</v>
      </c>
      <c r="N438" s="1" t="s">
        <v>64</v>
      </c>
      <c r="O438" s="3" t="s">
        <v>51</v>
      </c>
    </row>
    <row r="439" spans="1:15" x14ac:dyDescent="0.3">
      <c r="A439" s="22">
        <v>46296.037326388891</v>
      </c>
      <c r="B439" s="23" t="s">
        <v>40</v>
      </c>
      <c r="C439" s="15">
        <v>28.5562</v>
      </c>
      <c r="D439" s="1">
        <v>77.099999999999994</v>
      </c>
      <c r="E439" s="1" t="s">
        <v>38</v>
      </c>
      <c r="F439" s="1" t="s">
        <v>17</v>
      </c>
      <c r="G439" s="1" t="s">
        <v>18</v>
      </c>
      <c r="H439" s="1" t="s">
        <v>27</v>
      </c>
      <c r="I439" s="1" t="s">
        <v>20</v>
      </c>
      <c r="J439" s="1">
        <v>41</v>
      </c>
      <c r="K439" s="1" t="s">
        <v>39</v>
      </c>
      <c r="L439" s="2">
        <v>46299</v>
      </c>
      <c r="M439" s="1">
        <v>14</v>
      </c>
      <c r="N439" s="1" t="s">
        <v>64</v>
      </c>
      <c r="O439" s="3" t="s">
        <v>51</v>
      </c>
    </row>
    <row r="440" spans="1:15" x14ac:dyDescent="0.3">
      <c r="A440" s="20">
        <v>46296.037210648145</v>
      </c>
      <c r="B440" s="21" t="s">
        <v>54</v>
      </c>
      <c r="C440" s="15">
        <v>28.656199999999998</v>
      </c>
      <c r="D440" s="1">
        <v>77.231499999999997</v>
      </c>
      <c r="E440" s="1" t="s">
        <v>55</v>
      </c>
      <c r="F440" s="1" t="s">
        <v>17</v>
      </c>
      <c r="G440" s="1" t="s">
        <v>18</v>
      </c>
      <c r="H440" s="1" t="s">
        <v>32</v>
      </c>
      <c r="I440" s="1" t="s">
        <v>20</v>
      </c>
      <c r="J440" s="1">
        <v>58</v>
      </c>
      <c r="K440" s="1" t="s">
        <v>21</v>
      </c>
      <c r="L440" s="2">
        <v>46299</v>
      </c>
      <c r="M440" s="1">
        <v>13</v>
      </c>
      <c r="N440" s="1" t="s">
        <v>64</v>
      </c>
      <c r="O440" s="3" t="s">
        <v>51</v>
      </c>
    </row>
    <row r="441" spans="1:15" x14ac:dyDescent="0.3">
      <c r="A441" s="22">
        <v>46296.037094907406</v>
      </c>
      <c r="B441" s="23" t="s">
        <v>37</v>
      </c>
      <c r="C441" s="15">
        <v>28.5562</v>
      </c>
      <c r="D441" s="1">
        <v>77.099999999999994</v>
      </c>
      <c r="E441" s="1" t="s">
        <v>38</v>
      </c>
      <c r="F441" s="1" t="s">
        <v>26</v>
      </c>
      <c r="G441" s="1" t="s">
        <v>45</v>
      </c>
      <c r="H441" s="1" t="s">
        <v>27</v>
      </c>
      <c r="I441" s="1" t="s">
        <v>20</v>
      </c>
      <c r="J441" s="1">
        <v>42</v>
      </c>
      <c r="K441" s="1" t="s">
        <v>39</v>
      </c>
      <c r="L441" s="2">
        <v>46299</v>
      </c>
      <c r="M441" s="1">
        <v>12</v>
      </c>
      <c r="N441" s="1" t="s">
        <v>64</v>
      </c>
      <c r="O441" s="3" t="s">
        <v>51</v>
      </c>
    </row>
    <row r="442" spans="1:15" x14ac:dyDescent="0.3">
      <c r="A442" s="20">
        <v>46296.036979166667</v>
      </c>
      <c r="B442" s="21" t="s">
        <v>46</v>
      </c>
      <c r="C442" s="15">
        <v>28.571400000000001</v>
      </c>
      <c r="D442" s="1">
        <v>77.281300000000002</v>
      </c>
      <c r="E442" s="1" t="s">
        <v>47</v>
      </c>
      <c r="F442" s="1" t="s">
        <v>35</v>
      </c>
      <c r="G442" s="1" t="s">
        <v>45</v>
      </c>
      <c r="H442" s="1" t="s">
        <v>27</v>
      </c>
      <c r="I442" s="1" t="s">
        <v>56</v>
      </c>
      <c r="J442" s="1">
        <v>23</v>
      </c>
      <c r="K442" s="1" t="s">
        <v>21</v>
      </c>
      <c r="L442" s="2">
        <v>46299</v>
      </c>
      <c r="M442" s="1">
        <v>9</v>
      </c>
      <c r="N442" s="1" t="s">
        <v>64</v>
      </c>
      <c r="O442" s="3" t="s">
        <v>57</v>
      </c>
    </row>
    <row r="443" spans="1:15" x14ac:dyDescent="0.3">
      <c r="A443" s="22">
        <v>46296.036863425928</v>
      </c>
      <c r="B443" s="23" t="s">
        <v>40</v>
      </c>
      <c r="C443" s="15">
        <v>28.6129</v>
      </c>
      <c r="D443" s="1">
        <v>77.229500000000002</v>
      </c>
      <c r="E443" s="1" t="s">
        <v>43</v>
      </c>
      <c r="F443" s="1" t="s">
        <v>26</v>
      </c>
      <c r="G443" s="1" t="s">
        <v>18</v>
      </c>
      <c r="H443" s="1" t="s">
        <v>27</v>
      </c>
      <c r="I443" s="1" t="s">
        <v>20</v>
      </c>
      <c r="J443" s="1">
        <v>53</v>
      </c>
      <c r="K443" s="1" t="s">
        <v>34</v>
      </c>
      <c r="L443" s="2">
        <v>46299</v>
      </c>
      <c r="M443" s="1">
        <v>9</v>
      </c>
      <c r="N443" s="1" t="s">
        <v>64</v>
      </c>
      <c r="O443" s="3" t="s">
        <v>57</v>
      </c>
    </row>
    <row r="444" spans="1:15" x14ac:dyDescent="0.3">
      <c r="A444" s="20">
        <v>46296.036747685182</v>
      </c>
      <c r="B444" s="21" t="s">
        <v>54</v>
      </c>
      <c r="C444" s="15">
        <v>28.571400000000001</v>
      </c>
      <c r="D444" s="1">
        <v>77.281300000000002</v>
      </c>
      <c r="E444" s="1" t="s">
        <v>47</v>
      </c>
      <c r="F444" s="1" t="s">
        <v>53</v>
      </c>
      <c r="G444" s="1" t="s">
        <v>50</v>
      </c>
      <c r="H444" s="1" t="s">
        <v>32</v>
      </c>
      <c r="I444" s="1" t="s">
        <v>49</v>
      </c>
      <c r="J444" s="1">
        <v>61</v>
      </c>
      <c r="K444" s="1" t="s">
        <v>39</v>
      </c>
      <c r="L444" s="2">
        <v>46299</v>
      </c>
      <c r="M444" s="1">
        <v>8</v>
      </c>
      <c r="N444" s="1" t="s">
        <v>64</v>
      </c>
      <c r="O444" s="3" t="s">
        <v>57</v>
      </c>
    </row>
    <row r="445" spans="1:15" x14ac:dyDescent="0.3">
      <c r="A445" s="22">
        <v>46296.036631944444</v>
      </c>
      <c r="B445" s="23" t="s">
        <v>46</v>
      </c>
      <c r="C445" s="15">
        <v>28.6328</v>
      </c>
      <c r="D445" s="1">
        <v>77.219499999999996</v>
      </c>
      <c r="E445" s="1" t="s">
        <v>16</v>
      </c>
      <c r="F445" s="1" t="s">
        <v>17</v>
      </c>
      <c r="G445" s="1" t="s">
        <v>18</v>
      </c>
      <c r="H445" s="1" t="s">
        <v>27</v>
      </c>
      <c r="I445" s="1" t="s">
        <v>20</v>
      </c>
      <c r="J445" s="1">
        <v>27</v>
      </c>
      <c r="K445" s="1" t="s">
        <v>39</v>
      </c>
      <c r="L445" s="2">
        <v>46299</v>
      </c>
      <c r="M445" s="1">
        <v>8</v>
      </c>
      <c r="N445" s="1" t="s">
        <v>64</v>
      </c>
      <c r="O445" s="3" t="s">
        <v>57</v>
      </c>
    </row>
    <row r="446" spans="1:15" x14ac:dyDescent="0.3">
      <c r="A446" s="20">
        <v>46296.036516203705</v>
      </c>
      <c r="B446" s="21" t="s">
        <v>40</v>
      </c>
      <c r="C446" s="15">
        <v>28.6129</v>
      </c>
      <c r="D446" s="1">
        <v>77.229500000000002</v>
      </c>
      <c r="E446" s="1" t="s">
        <v>43</v>
      </c>
      <c r="F446" s="1" t="s">
        <v>17</v>
      </c>
      <c r="G446" s="1" t="s">
        <v>18</v>
      </c>
      <c r="H446" s="1" t="s">
        <v>61</v>
      </c>
      <c r="I446" s="1" t="s">
        <v>20</v>
      </c>
      <c r="J446" s="1">
        <v>74</v>
      </c>
      <c r="K446" s="1" t="s">
        <v>34</v>
      </c>
      <c r="L446" s="2">
        <v>46299</v>
      </c>
      <c r="M446" s="1">
        <v>8</v>
      </c>
      <c r="N446" s="1" t="s">
        <v>64</v>
      </c>
      <c r="O446" s="3" t="s">
        <v>57</v>
      </c>
    </row>
    <row r="447" spans="1:15" x14ac:dyDescent="0.3">
      <c r="A447" s="22">
        <v>46296.036400462966</v>
      </c>
      <c r="B447" s="23" t="s">
        <v>40</v>
      </c>
      <c r="C447" s="15">
        <v>28.632999999999999</v>
      </c>
      <c r="D447" s="1">
        <v>77.2196</v>
      </c>
      <c r="E447" s="1" t="s">
        <v>16</v>
      </c>
      <c r="F447" s="1" t="s">
        <v>52</v>
      </c>
      <c r="G447" s="1" t="s">
        <v>18</v>
      </c>
      <c r="H447" s="1" t="s">
        <v>27</v>
      </c>
      <c r="I447" s="1" t="s">
        <v>56</v>
      </c>
      <c r="J447" s="1">
        <v>48</v>
      </c>
      <c r="K447" s="1" t="s">
        <v>34</v>
      </c>
      <c r="L447" s="2">
        <v>46299</v>
      </c>
      <c r="M447" s="1">
        <v>7</v>
      </c>
      <c r="N447" s="1" t="s">
        <v>64</v>
      </c>
      <c r="O447" s="3" t="s">
        <v>57</v>
      </c>
    </row>
    <row r="448" spans="1:15" x14ac:dyDescent="0.3">
      <c r="A448" s="20">
        <v>46296.03628472222</v>
      </c>
      <c r="B448" s="21" t="s">
        <v>37</v>
      </c>
      <c r="C448" s="15">
        <v>28.545300000000001</v>
      </c>
      <c r="D448" s="1">
        <v>77.192499999999995</v>
      </c>
      <c r="E448" s="1" t="s">
        <v>41</v>
      </c>
      <c r="F448" s="1" t="s">
        <v>48</v>
      </c>
      <c r="G448" s="1" t="s">
        <v>18</v>
      </c>
      <c r="H448" s="1" t="s">
        <v>27</v>
      </c>
      <c r="I448" s="1" t="s">
        <v>20</v>
      </c>
      <c r="J448" s="1">
        <v>39</v>
      </c>
      <c r="K448" s="1" t="s">
        <v>21</v>
      </c>
      <c r="L448" s="2">
        <v>46299</v>
      </c>
      <c r="M448" s="1">
        <v>7</v>
      </c>
      <c r="N448" s="1" t="s">
        <v>64</v>
      </c>
      <c r="O448" s="3" t="s">
        <v>57</v>
      </c>
    </row>
    <row r="449" spans="1:15" x14ac:dyDescent="0.3">
      <c r="A449" s="22">
        <v>46296.036168981482</v>
      </c>
      <c r="B449" s="23" t="s">
        <v>42</v>
      </c>
      <c r="C449" s="15">
        <v>28.6328</v>
      </c>
      <c r="D449" s="1">
        <v>77.219499999999996</v>
      </c>
      <c r="E449" s="1" t="s">
        <v>16</v>
      </c>
      <c r="F449" s="1" t="s">
        <v>48</v>
      </c>
      <c r="G449" s="1" t="s">
        <v>18</v>
      </c>
      <c r="H449" s="1" t="s">
        <v>61</v>
      </c>
      <c r="I449" s="1" t="s">
        <v>20</v>
      </c>
      <c r="J449" s="1">
        <v>72</v>
      </c>
      <c r="K449" s="1" t="s">
        <v>34</v>
      </c>
      <c r="L449" s="2">
        <v>46299</v>
      </c>
      <c r="M449" s="1">
        <v>3</v>
      </c>
      <c r="N449" s="1" t="s">
        <v>64</v>
      </c>
      <c r="O449" s="3" t="s">
        <v>23</v>
      </c>
    </row>
    <row r="450" spans="1:15" x14ac:dyDescent="0.3">
      <c r="A450" s="20">
        <v>46296.036053240743</v>
      </c>
      <c r="B450" s="21" t="s">
        <v>29</v>
      </c>
      <c r="C450" s="15">
        <v>28.5562</v>
      </c>
      <c r="D450" s="1">
        <v>77.099999999999994</v>
      </c>
      <c r="E450" s="1" t="s">
        <v>38</v>
      </c>
      <c r="F450" s="1" t="s">
        <v>53</v>
      </c>
      <c r="G450" s="1" t="s">
        <v>18</v>
      </c>
      <c r="H450" s="1" t="s">
        <v>27</v>
      </c>
      <c r="I450" s="1" t="s">
        <v>33</v>
      </c>
      <c r="J450" s="1">
        <v>23</v>
      </c>
      <c r="K450" s="1" t="s">
        <v>39</v>
      </c>
      <c r="L450" s="2">
        <v>46299</v>
      </c>
      <c r="M450" s="1">
        <v>3</v>
      </c>
      <c r="N450" s="1" t="s">
        <v>64</v>
      </c>
      <c r="O450" s="3" t="s">
        <v>23</v>
      </c>
    </row>
    <row r="451" spans="1:15" x14ac:dyDescent="0.3">
      <c r="A451" s="22">
        <v>46296.035937499997</v>
      </c>
      <c r="B451" s="23" t="s">
        <v>42</v>
      </c>
      <c r="C451" s="15">
        <v>28.6328</v>
      </c>
      <c r="D451" s="1">
        <v>77.219499999999996</v>
      </c>
      <c r="E451" s="1" t="s">
        <v>16</v>
      </c>
      <c r="F451" s="1" t="s">
        <v>48</v>
      </c>
      <c r="G451" s="1" t="s">
        <v>45</v>
      </c>
      <c r="H451" s="1" t="s">
        <v>32</v>
      </c>
      <c r="I451" s="1" t="s">
        <v>20</v>
      </c>
      <c r="J451" s="1">
        <v>73</v>
      </c>
      <c r="K451" s="1" t="s">
        <v>34</v>
      </c>
      <c r="L451" s="2">
        <v>46299</v>
      </c>
      <c r="M451" s="1">
        <v>2</v>
      </c>
      <c r="N451" s="1" t="s">
        <v>64</v>
      </c>
      <c r="O451" s="3" t="s">
        <v>23</v>
      </c>
    </row>
    <row r="452" spans="1:15" x14ac:dyDescent="0.3">
      <c r="A452" s="20">
        <v>46296.035821759258</v>
      </c>
      <c r="B452" s="21" t="s">
        <v>29</v>
      </c>
      <c r="C452" s="15">
        <v>28.545300000000001</v>
      </c>
      <c r="D452" s="1">
        <v>77.192499999999995</v>
      </c>
      <c r="E452" s="1" t="s">
        <v>41</v>
      </c>
      <c r="F452" s="1" t="s">
        <v>17</v>
      </c>
      <c r="G452" s="1" t="s">
        <v>50</v>
      </c>
      <c r="H452" s="1" t="s">
        <v>19</v>
      </c>
      <c r="I452" s="1" t="s">
        <v>20</v>
      </c>
      <c r="J452" s="1">
        <v>55</v>
      </c>
      <c r="K452" s="1" t="s">
        <v>39</v>
      </c>
      <c r="L452" s="2">
        <v>46299</v>
      </c>
      <c r="M452" s="1">
        <v>1</v>
      </c>
      <c r="N452" s="1" t="s">
        <v>64</v>
      </c>
      <c r="O452" s="3" t="s">
        <v>23</v>
      </c>
    </row>
    <row r="453" spans="1:15" x14ac:dyDescent="0.3">
      <c r="A453" s="22">
        <v>46296.03570601852</v>
      </c>
      <c r="B453" s="23" t="s">
        <v>40</v>
      </c>
      <c r="C453" s="15">
        <v>28.545300000000001</v>
      </c>
      <c r="D453" s="1">
        <v>77.192499999999995</v>
      </c>
      <c r="E453" s="1" t="s">
        <v>41</v>
      </c>
      <c r="F453" s="1" t="s">
        <v>26</v>
      </c>
      <c r="G453" s="1" t="s">
        <v>18</v>
      </c>
      <c r="H453" s="1" t="s">
        <v>32</v>
      </c>
      <c r="I453" s="1" t="s">
        <v>20</v>
      </c>
      <c r="J453" s="1">
        <v>64</v>
      </c>
      <c r="K453" s="1" t="s">
        <v>39</v>
      </c>
      <c r="L453" s="2">
        <v>46298</v>
      </c>
      <c r="M453" s="1">
        <v>23</v>
      </c>
      <c r="N453" s="1" t="s">
        <v>65</v>
      </c>
      <c r="O453" s="3" t="s">
        <v>23</v>
      </c>
    </row>
    <row r="454" spans="1:15" x14ac:dyDescent="0.3">
      <c r="A454" s="20">
        <v>46296.035590277781</v>
      </c>
      <c r="B454" s="21" t="s">
        <v>46</v>
      </c>
      <c r="C454" s="15">
        <v>28.567599999999999</v>
      </c>
      <c r="D454" s="1">
        <v>77.209599999999995</v>
      </c>
      <c r="E454" s="1" t="s">
        <v>25</v>
      </c>
      <c r="F454" s="1" t="s">
        <v>17</v>
      </c>
      <c r="G454" s="1" t="s">
        <v>18</v>
      </c>
      <c r="H454" s="1" t="s">
        <v>27</v>
      </c>
      <c r="I454" s="1" t="s">
        <v>20</v>
      </c>
      <c r="J454" s="1">
        <v>38</v>
      </c>
      <c r="K454" s="1" t="s">
        <v>21</v>
      </c>
      <c r="L454" s="2">
        <v>46298</v>
      </c>
      <c r="M454" s="1">
        <v>23</v>
      </c>
      <c r="N454" s="1" t="s">
        <v>65</v>
      </c>
      <c r="O454" s="3" t="s">
        <v>23</v>
      </c>
    </row>
    <row r="455" spans="1:15" x14ac:dyDescent="0.3">
      <c r="A455" s="22">
        <v>46296.035474537035</v>
      </c>
      <c r="B455" s="23" t="s">
        <v>24</v>
      </c>
      <c r="C455" s="15">
        <v>28.545300000000001</v>
      </c>
      <c r="D455" s="1">
        <v>77.192499999999995</v>
      </c>
      <c r="E455" s="1" t="s">
        <v>41</v>
      </c>
      <c r="F455" s="1" t="s">
        <v>53</v>
      </c>
      <c r="G455" s="1" t="s">
        <v>50</v>
      </c>
      <c r="H455" s="1" t="s">
        <v>27</v>
      </c>
      <c r="I455" s="1" t="s">
        <v>56</v>
      </c>
      <c r="J455" s="1">
        <v>68</v>
      </c>
      <c r="K455" s="1" t="s">
        <v>21</v>
      </c>
      <c r="L455" s="2">
        <v>46298</v>
      </c>
      <c r="M455" s="1">
        <v>22</v>
      </c>
      <c r="N455" s="1" t="s">
        <v>65</v>
      </c>
      <c r="O455" s="3" t="s">
        <v>23</v>
      </c>
    </row>
    <row r="456" spans="1:15" x14ac:dyDescent="0.3">
      <c r="A456" s="20">
        <v>46296.035358796296</v>
      </c>
      <c r="B456" s="21" t="s">
        <v>37</v>
      </c>
      <c r="C456" s="15">
        <v>28.656199999999998</v>
      </c>
      <c r="D456" s="1">
        <v>77.231499999999997</v>
      </c>
      <c r="E456" s="1" t="s">
        <v>55</v>
      </c>
      <c r="F456" s="1" t="s">
        <v>52</v>
      </c>
      <c r="G456" s="1" t="s">
        <v>18</v>
      </c>
      <c r="H456" s="1" t="s">
        <v>27</v>
      </c>
      <c r="I456" s="1" t="s">
        <v>49</v>
      </c>
      <c r="J456" s="1">
        <v>54</v>
      </c>
      <c r="K456" s="1" t="s">
        <v>34</v>
      </c>
      <c r="L456" s="2">
        <v>46298</v>
      </c>
      <c r="M456" s="1">
        <v>20</v>
      </c>
      <c r="N456" s="1" t="s">
        <v>65</v>
      </c>
      <c r="O456" s="3" t="s">
        <v>28</v>
      </c>
    </row>
    <row r="457" spans="1:15" x14ac:dyDescent="0.3">
      <c r="A457" s="22">
        <v>46296.035243055558</v>
      </c>
      <c r="B457" s="23" t="s">
        <v>42</v>
      </c>
      <c r="C457" s="15">
        <v>28.545300000000001</v>
      </c>
      <c r="D457" s="1">
        <v>77.192499999999995</v>
      </c>
      <c r="E457" s="1" t="s">
        <v>41</v>
      </c>
      <c r="F457" s="1" t="s">
        <v>17</v>
      </c>
      <c r="G457" s="1" t="s">
        <v>31</v>
      </c>
      <c r="H457" s="1" t="s">
        <v>61</v>
      </c>
      <c r="I457" s="1" t="s">
        <v>20</v>
      </c>
      <c r="J457" s="1">
        <v>70</v>
      </c>
      <c r="K457" s="1" t="s">
        <v>21</v>
      </c>
      <c r="L457" s="2">
        <v>46298</v>
      </c>
      <c r="M457" s="1">
        <v>18</v>
      </c>
      <c r="N457" s="1" t="s">
        <v>65</v>
      </c>
      <c r="O457" s="3" t="s">
        <v>28</v>
      </c>
    </row>
    <row r="458" spans="1:15" x14ac:dyDescent="0.3">
      <c r="A458" s="20">
        <v>46296.035127314812</v>
      </c>
      <c r="B458" s="21" t="s">
        <v>54</v>
      </c>
      <c r="C458" s="15">
        <v>28.545300000000001</v>
      </c>
      <c r="D458" s="1">
        <v>77.192499999999995</v>
      </c>
      <c r="E458" s="1" t="s">
        <v>41</v>
      </c>
      <c r="F458" s="1" t="s">
        <v>44</v>
      </c>
      <c r="G458" s="1" t="s">
        <v>50</v>
      </c>
      <c r="H458" s="1" t="s">
        <v>27</v>
      </c>
      <c r="I458" s="1" t="s">
        <v>56</v>
      </c>
      <c r="J458" s="1">
        <v>21</v>
      </c>
      <c r="K458" s="1" t="s">
        <v>39</v>
      </c>
      <c r="L458" s="2">
        <v>46298</v>
      </c>
      <c r="M458" s="1">
        <v>14</v>
      </c>
      <c r="N458" s="1" t="s">
        <v>65</v>
      </c>
      <c r="O458" s="3" t="s">
        <v>51</v>
      </c>
    </row>
    <row r="459" spans="1:15" x14ac:dyDescent="0.3">
      <c r="A459" s="22">
        <v>46296.035011574073</v>
      </c>
      <c r="B459" s="23" t="s">
        <v>15</v>
      </c>
      <c r="C459" s="15">
        <v>28.6328</v>
      </c>
      <c r="D459" s="1">
        <v>77.219499999999996</v>
      </c>
      <c r="E459" s="1" t="s">
        <v>16</v>
      </c>
      <c r="F459" s="1" t="s">
        <v>52</v>
      </c>
      <c r="G459" s="1" t="s">
        <v>18</v>
      </c>
      <c r="H459" s="1" t="s">
        <v>32</v>
      </c>
      <c r="I459" s="1" t="s">
        <v>33</v>
      </c>
      <c r="J459" s="1">
        <v>61</v>
      </c>
      <c r="K459" s="1" t="s">
        <v>34</v>
      </c>
      <c r="L459" s="2">
        <v>46298</v>
      </c>
      <c r="M459" s="1">
        <v>14</v>
      </c>
      <c r="N459" s="1" t="s">
        <v>65</v>
      </c>
      <c r="O459" s="3" t="s">
        <v>51</v>
      </c>
    </row>
    <row r="460" spans="1:15" x14ac:dyDescent="0.3">
      <c r="A460" s="20">
        <v>46296.034895833334</v>
      </c>
      <c r="B460" s="21" t="s">
        <v>29</v>
      </c>
      <c r="C460" s="15">
        <v>28.545300000000001</v>
      </c>
      <c r="D460" s="1">
        <v>77.192499999999995</v>
      </c>
      <c r="E460" s="1" t="s">
        <v>41</v>
      </c>
      <c r="F460" s="1" t="s">
        <v>52</v>
      </c>
      <c r="G460" s="1" t="s">
        <v>45</v>
      </c>
      <c r="H460" s="1" t="s">
        <v>19</v>
      </c>
      <c r="I460" s="1" t="s">
        <v>20</v>
      </c>
      <c r="J460" s="1">
        <v>75</v>
      </c>
      <c r="K460" s="1" t="s">
        <v>39</v>
      </c>
      <c r="L460" s="2">
        <v>46298</v>
      </c>
      <c r="M460" s="1">
        <v>12</v>
      </c>
      <c r="N460" s="1" t="s">
        <v>65</v>
      </c>
      <c r="O460" s="3" t="s">
        <v>51</v>
      </c>
    </row>
    <row r="461" spans="1:15" x14ac:dyDescent="0.3">
      <c r="A461" s="22">
        <v>46296.034780092596</v>
      </c>
      <c r="B461" s="23" t="s">
        <v>37</v>
      </c>
      <c r="C461" s="15">
        <v>28.567599999999999</v>
      </c>
      <c r="D461" s="1">
        <v>77.209599999999995</v>
      </c>
      <c r="E461" s="1" t="s">
        <v>25</v>
      </c>
      <c r="F461" s="1" t="s">
        <v>26</v>
      </c>
      <c r="G461" s="1" t="s">
        <v>45</v>
      </c>
      <c r="H461" s="1" t="s">
        <v>27</v>
      </c>
      <c r="I461" s="1" t="s">
        <v>20</v>
      </c>
      <c r="J461" s="1">
        <v>58</v>
      </c>
      <c r="K461" s="1" t="s">
        <v>39</v>
      </c>
      <c r="L461" s="2">
        <v>46298</v>
      </c>
      <c r="M461" s="1">
        <v>11</v>
      </c>
      <c r="N461" s="1" t="s">
        <v>65</v>
      </c>
      <c r="O461" s="3" t="s">
        <v>57</v>
      </c>
    </row>
    <row r="462" spans="1:15" x14ac:dyDescent="0.3">
      <c r="A462" s="20">
        <v>46296.03466435185</v>
      </c>
      <c r="B462" s="21" t="s">
        <v>42</v>
      </c>
      <c r="C462" s="15">
        <v>28.5562</v>
      </c>
      <c r="D462" s="1">
        <v>77.099999999999994</v>
      </c>
      <c r="E462" s="1" t="s">
        <v>38</v>
      </c>
      <c r="F462" s="1" t="s">
        <v>52</v>
      </c>
      <c r="G462" s="1" t="s">
        <v>45</v>
      </c>
      <c r="H462" s="1" t="s">
        <v>32</v>
      </c>
      <c r="I462" s="1" t="s">
        <v>36</v>
      </c>
      <c r="J462" s="1">
        <v>54</v>
      </c>
      <c r="K462" s="1" t="s">
        <v>21</v>
      </c>
      <c r="L462" s="2">
        <v>46298</v>
      </c>
      <c r="M462" s="1">
        <v>11</v>
      </c>
      <c r="N462" s="1" t="s">
        <v>65</v>
      </c>
      <c r="O462" s="3" t="s">
        <v>57</v>
      </c>
    </row>
    <row r="463" spans="1:15" x14ac:dyDescent="0.3">
      <c r="A463" s="22">
        <v>46296.034548611111</v>
      </c>
      <c r="B463" s="23" t="s">
        <v>29</v>
      </c>
      <c r="C463" s="15">
        <v>28.545300000000001</v>
      </c>
      <c r="D463" s="1">
        <v>77.192499999999995</v>
      </c>
      <c r="E463" s="1" t="s">
        <v>41</v>
      </c>
      <c r="F463" s="1" t="s">
        <v>30</v>
      </c>
      <c r="G463" s="1" t="s">
        <v>31</v>
      </c>
      <c r="H463" s="1" t="s">
        <v>32</v>
      </c>
      <c r="I463" s="1" t="s">
        <v>49</v>
      </c>
      <c r="J463" s="1">
        <v>56</v>
      </c>
      <c r="K463" s="1" t="s">
        <v>21</v>
      </c>
      <c r="L463" s="2">
        <v>46298</v>
      </c>
      <c r="M463" s="1">
        <v>10</v>
      </c>
      <c r="N463" s="1" t="s">
        <v>65</v>
      </c>
      <c r="O463" s="3" t="s">
        <v>57</v>
      </c>
    </row>
    <row r="464" spans="1:15" x14ac:dyDescent="0.3">
      <c r="A464" s="20">
        <v>46296.034432870372</v>
      </c>
      <c r="B464" s="21" t="s">
        <v>15</v>
      </c>
      <c r="C464" s="15">
        <v>28.6129</v>
      </c>
      <c r="D464" s="1">
        <v>77.229500000000002</v>
      </c>
      <c r="E464" s="1" t="s">
        <v>43</v>
      </c>
      <c r="F464" s="1" t="s">
        <v>26</v>
      </c>
      <c r="G464" s="1" t="s">
        <v>18</v>
      </c>
      <c r="H464" s="1" t="s">
        <v>27</v>
      </c>
      <c r="I464" s="1" t="s">
        <v>20</v>
      </c>
      <c r="J464" s="1">
        <v>35</v>
      </c>
      <c r="K464" s="1" t="s">
        <v>21</v>
      </c>
      <c r="L464" s="2">
        <v>46298</v>
      </c>
      <c r="M464" s="1">
        <v>9</v>
      </c>
      <c r="N464" s="1" t="s">
        <v>65</v>
      </c>
      <c r="O464" s="3" t="s">
        <v>57</v>
      </c>
    </row>
    <row r="465" spans="1:15" x14ac:dyDescent="0.3">
      <c r="A465" s="22">
        <v>46296.034317129626</v>
      </c>
      <c r="B465" s="23" t="s">
        <v>37</v>
      </c>
      <c r="C465" s="15">
        <v>28.571400000000001</v>
      </c>
      <c r="D465" s="1">
        <v>77.281300000000002</v>
      </c>
      <c r="E465" s="1" t="s">
        <v>47</v>
      </c>
      <c r="F465" s="1" t="s">
        <v>30</v>
      </c>
      <c r="G465" s="1" t="s">
        <v>18</v>
      </c>
      <c r="H465" s="1" t="s">
        <v>61</v>
      </c>
      <c r="I465" s="1" t="s">
        <v>56</v>
      </c>
      <c r="J465" s="1">
        <v>65</v>
      </c>
      <c r="K465" s="1" t="s">
        <v>21</v>
      </c>
      <c r="L465" s="2">
        <v>46298</v>
      </c>
      <c r="M465" s="1">
        <v>0</v>
      </c>
      <c r="N465" s="1" t="s">
        <v>65</v>
      </c>
      <c r="O465" s="3" t="s">
        <v>23</v>
      </c>
    </row>
    <row r="466" spans="1:15" x14ac:dyDescent="0.3">
      <c r="A466" s="20">
        <v>46296.034201388888</v>
      </c>
      <c r="B466" s="21" t="s">
        <v>15</v>
      </c>
      <c r="C466" s="15">
        <v>28.6129</v>
      </c>
      <c r="D466" s="1">
        <v>77.229500000000002</v>
      </c>
      <c r="E466" s="1" t="s">
        <v>43</v>
      </c>
      <c r="F466" s="1" t="s">
        <v>26</v>
      </c>
      <c r="G466" s="1" t="s">
        <v>50</v>
      </c>
      <c r="H466" s="1" t="s">
        <v>32</v>
      </c>
      <c r="I466" s="1" t="s">
        <v>20</v>
      </c>
      <c r="J466" s="1">
        <v>64</v>
      </c>
      <c r="K466" s="1" t="s">
        <v>21</v>
      </c>
      <c r="L466" s="2">
        <v>46297</v>
      </c>
      <c r="M466" s="1">
        <v>22</v>
      </c>
      <c r="N466" s="1" t="s">
        <v>22</v>
      </c>
      <c r="O466" s="3" t="s">
        <v>23</v>
      </c>
    </row>
    <row r="467" spans="1:15" x14ac:dyDescent="0.3">
      <c r="A467" s="22">
        <v>46296.034085648149</v>
      </c>
      <c r="B467" s="23" t="s">
        <v>29</v>
      </c>
      <c r="C467" s="15">
        <v>28.567599999999999</v>
      </c>
      <c r="D467" s="1">
        <v>77.209599999999995</v>
      </c>
      <c r="E467" s="1" t="s">
        <v>25</v>
      </c>
      <c r="F467" s="1" t="s">
        <v>26</v>
      </c>
      <c r="G467" s="1" t="s">
        <v>18</v>
      </c>
      <c r="H467" s="1" t="s">
        <v>32</v>
      </c>
      <c r="I467" s="1" t="s">
        <v>20</v>
      </c>
      <c r="J467" s="1">
        <v>70</v>
      </c>
      <c r="K467" s="1" t="s">
        <v>39</v>
      </c>
      <c r="L467" s="2">
        <v>46297</v>
      </c>
      <c r="M467" s="1">
        <v>22</v>
      </c>
      <c r="N467" s="1" t="s">
        <v>22</v>
      </c>
      <c r="O467" s="3" t="s">
        <v>23</v>
      </c>
    </row>
    <row r="468" spans="1:15" x14ac:dyDescent="0.3">
      <c r="A468" s="20">
        <v>46296.03396990741</v>
      </c>
      <c r="B468" s="21" t="s">
        <v>37</v>
      </c>
      <c r="C468" s="15">
        <v>28.6328</v>
      </c>
      <c r="D468" s="1">
        <v>77.219499999999996</v>
      </c>
      <c r="E468" s="1" t="s">
        <v>16</v>
      </c>
      <c r="F468" s="1" t="s">
        <v>58</v>
      </c>
      <c r="G468" s="1" t="s">
        <v>18</v>
      </c>
      <c r="H468" s="1" t="s">
        <v>61</v>
      </c>
      <c r="I468" s="1" t="s">
        <v>20</v>
      </c>
      <c r="J468" s="1">
        <v>52</v>
      </c>
      <c r="K468" s="1" t="s">
        <v>21</v>
      </c>
      <c r="L468" s="2">
        <v>46297</v>
      </c>
      <c r="M468" s="1">
        <v>21</v>
      </c>
      <c r="N468" s="1" t="s">
        <v>22</v>
      </c>
      <c r="O468" s="3" t="s">
        <v>23</v>
      </c>
    </row>
    <row r="469" spans="1:15" x14ac:dyDescent="0.3">
      <c r="A469" s="22">
        <v>46296.033854166664</v>
      </c>
      <c r="B469" s="23" t="s">
        <v>29</v>
      </c>
      <c r="C469" s="15">
        <v>28.567599999999999</v>
      </c>
      <c r="D469" s="1">
        <v>77.209599999999995</v>
      </c>
      <c r="E469" s="1" t="s">
        <v>25</v>
      </c>
      <c r="F469" s="1" t="s">
        <v>48</v>
      </c>
      <c r="G469" s="1" t="s">
        <v>31</v>
      </c>
      <c r="H469" s="1" t="s">
        <v>27</v>
      </c>
      <c r="I469" s="1" t="s">
        <v>20</v>
      </c>
      <c r="J469" s="1">
        <v>57</v>
      </c>
      <c r="K469" s="1" t="s">
        <v>34</v>
      </c>
      <c r="L469" s="2">
        <v>46297</v>
      </c>
      <c r="M469" s="1">
        <v>18</v>
      </c>
      <c r="N469" s="1" t="s">
        <v>22</v>
      </c>
      <c r="O469" s="3" t="s">
        <v>28</v>
      </c>
    </row>
    <row r="470" spans="1:15" x14ac:dyDescent="0.3">
      <c r="A470" s="20">
        <v>46296.033738425926</v>
      </c>
      <c r="B470" s="21" t="s">
        <v>37</v>
      </c>
      <c r="C470" s="15">
        <v>28.571400000000001</v>
      </c>
      <c r="D470" s="1">
        <v>77.281300000000002</v>
      </c>
      <c r="E470" s="1" t="s">
        <v>47</v>
      </c>
      <c r="F470" s="1" t="s">
        <v>44</v>
      </c>
      <c r="G470" s="1" t="s">
        <v>18</v>
      </c>
      <c r="H470" s="1" t="s">
        <v>27</v>
      </c>
      <c r="I470" s="1" t="s">
        <v>36</v>
      </c>
      <c r="J470" s="1">
        <v>56</v>
      </c>
      <c r="K470" s="1" t="s">
        <v>39</v>
      </c>
      <c r="L470" s="2">
        <v>46297</v>
      </c>
      <c r="M470" s="1">
        <v>17</v>
      </c>
      <c r="N470" s="1" t="s">
        <v>22</v>
      </c>
      <c r="O470" s="3" t="s">
        <v>28</v>
      </c>
    </row>
    <row r="471" spans="1:15" x14ac:dyDescent="0.3">
      <c r="A471" s="22">
        <v>46296.033622685187</v>
      </c>
      <c r="B471" s="23" t="s">
        <v>29</v>
      </c>
      <c r="C471" s="15">
        <v>28.656199999999998</v>
      </c>
      <c r="D471" s="1">
        <v>77.231499999999997</v>
      </c>
      <c r="E471" s="1" t="s">
        <v>55</v>
      </c>
      <c r="F471" s="1" t="s">
        <v>17</v>
      </c>
      <c r="G471" s="1" t="s">
        <v>45</v>
      </c>
      <c r="H471" s="1" t="s">
        <v>27</v>
      </c>
      <c r="I471" s="1" t="s">
        <v>20</v>
      </c>
      <c r="J471" s="1">
        <v>62</v>
      </c>
      <c r="K471" s="1" t="s">
        <v>21</v>
      </c>
      <c r="L471" s="2">
        <v>46297</v>
      </c>
      <c r="M471" s="1">
        <v>16</v>
      </c>
      <c r="N471" s="1" t="s">
        <v>22</v>
      </c>
      <c r="O471" s="3" t="s">
        <v>51</v>
      </c>
    </row>
    <row r="472" spans="1:15" x14ac:dyDescent="0.3">
      <c r="A472" s="20">
        <v>46296.033506944441</v>
      </c>
      <c r="B472" s="21" t="s">
        <v>37</v>
      </c>
      <c r="C472" s="15">
        <v>28.571400000000001</v>
      </c>
      <c r="D472" s="1">
        <v>77.281300000000002</v>
      </c>
      <c r="E472" s="1" t="s">
        <v>47</v>
      </c>
      <c r="F472" s="1" t="s">
        <v>44</v>
      </c>
      <c r="G472" s="1" t="s">
        <v>18</v>
      </c>
      <c r="H472" s="1" t="s">
        <v>27</v>
      </c>
      <c r="I472" s="1" t="s">
        <v>20</v>
      </c>
      <c r="J472" s="1">
        <v>73</v>
      </c>
      <c r="K472" s="1" t="s">
        <v>39</v>
      </c>
      <c r="L472" s="2">
        <v>46297</v>
      </c>
      <c r="M472" s="1">
        <v>15</v>
      </c>
      <c r="N472" s="1" t="s">
        <v>22</v>
      </c>
      <c r="O472" s="3" t="s">
        <v>51</v>
      </c>
    </row>
    <row r="473" spans="1:15" x14ac:dyDescent="0.3">
      <c r="A473" s="22">
        <v>46296.033391203702</v>
      </c>
      <c r="B473" s="23" t="s">
        <v>29</v>
      </c>
      <c r="C473" s="15">
        <v>28.567599999999999</v>
      </c>
      <c r="D473" s="1">
        <v>77.209599999999995</v>
      </c>
      <c r="E473" s="1" t="s">
        <v>25</v>
      </c>
      <c r="F473" s="1" t="s">
        <v>30</v>
      </c>
      <c r="G473" s="1" t="s">
        <v>50</v>
      </c>
      <c r="H473" s="1" t="s">
        <v>61</v>
      </c>
      <c r="I473" s="1" t="s">
        <v>33</v>
      </c>
      <c r="J473" s="1">
        <v>74</v>
      </c>
      <c r="K473" s="1" t="s">
        <v>34</v>
      </c>
      <c r="L473" s="2">
        <v>46297</v>
      </c>
      <c r="M473" s="1">
        <v>15</v>
      </c>
      <c r="N473" s="1" t="s">
        <v>22</v>
      </c>
      <c r="O473" s="3" t="s">
        <v>51</v>
      </c>
    </row>
    <row r="474" spans="1:15" x14ac:dyDescent="0.3">
      <c r="A474" s="20">
        <v>46296.033275462964</v>
      </c>
      <c r="B474" s="21" t="s">
        <v>54</v>
      </c>
      <c r="C474" s="15">
        <v>28.656199999999998</v>
      </c>
      <c r="D474" s="1">
        <v>77.231499999999997</v>
      </c>
      <c r="E474" s="1" t="s">
        <v>55</v>
      </c>
      <c r="F474" s="1" t="s">
        <v>26</v>
      </c>
      <c r="G474" s="1" t="s">
        <v>18</v>
      </c>
      <c r="H474" s="1" t="s">
        <v>32</v>
      </c>
      <c r="I474" s="1" t="s">
        <v>20</v>
      </c>
      <c r="J474" s="1">
        <v>42</v>
      </c>
      <c r="K474" s="1" t="s">
        <v>39</v>
      </c>
      <c r="L474" s="2">
        <v>46297</v>
      </c>
      <c r="M474" s="1">
        <v>14</v>
      </c>
      <c r="N474" s="1" t="s">
        <v>22</v>
      </c>
      <c r="O474" s="3" t="s">
        <v>51</v>
      </c>
    </row>
    <row r="475" spans="1:15" x14ac:dyDescent="0.3">
      <c r="A475" s="22">
        <v>46296.033159722225</v>
      </c>
      <c r="B475" s="23" t="s">
        <v>42</v>
      </c>
      <c r="C475" s="15">
        <v>28.571400000000001</v>
      </c>
      <c r="D475" s="1">
        <v>77.281300000000002</v>
      </c>
      <c r="E475" s="1" t="s">
        <v>47</v>
      </c>
      <c r="F475" s="1" t="s">
        <v>17</v>
      </c>
      <c r="G475" s="1" t="s">
        <v>50</v>
      </c>
      <c r="H475" s="1" t="s">
        <v>19</v>
      </c>
      <c r="I475" s="1" t="s">
        <v>20</v>
      </c>
      <c r="J475" s="1">
        <v>73</v>
      </c>
      <c r="K475" s="1" t="s">
        <v>34</v>
      </c>
      <c r="L475" s="2">
        <v>46297</v>
      </c>
      <c r="M475" s="1">
        <v>11</v>
      </c>
      <c r="N475" s="1" t="s">
        <v>22</v>
      </c>
      <c r="O475" s="3" t="s">
        <v>57</v>
      </c>
    </row>
    <row r="476" spans="1:15" x14ac:dyDescent="0.3">
      <c r="A476" s="20">
        <v>46296.033043981479</v>
      </c>
      <c r="B476" s="21" t="s">
        <v>54</v>
      </c>
      <c r="C476" s="15">
        <v>28.632999999999999</v>
      </c>
      <c r="D476" s="1">
        <v>77.2196</v>
      </c>
      <c r="E476" s="1" t="s">
        <v>16</v>
      </c>
      <c r="F476" s="1" t="s">
        <v>17</v>
      </c>
      <c r="G476" s="1" t="s">
        <v>45</v>
      </c>
      <c r="H476" s="1" t="s">
        <v>19</v>
      </c>
      <c r="I476" s="1" t="s">
        <v>20</v>
      </c>
      <c r="J476" s="1">
        <v>26</v>
      </c>
      <c r="K476" s="1" t="s">
        <v>21</v>
      </c>
      <c r="L476" s="2">
        <v>46297</v>
      </c>
      <c r="M476" s="1">
        <v>9</v>
      </c>
      <c r="N476" s="1" t="s">
        <v>22</v>
      </c>
      <c r="O476" s="3" t="s">
        <v>57</v>
      </c>
    </row>
    <row r="477" spans="1:15" x14ac:dyDescent="0.3">
      <c r="A477" s="22">
        <v>46296.03292824074</v>
      </c>
      <c r="B477" s="23" t="s">
        <v>42</v>
      </c>
      <c r="C477" s="15">
        <v>28.545300000000001</v>
      </c>
      <c r="D477" s="1">
        <v>77.192499999999995</v>
      </c>
      <c r="E477" s="1" t="s">
        <v>41</v>
      </c>
      <c r="F477" s="1" t="s">
        <v>17</v>
      </c>
      <c r="G477" s="1" t="s">
        <v>31</v>
      </c>
      <c r="H477" s="1" t="s">
        <v>32</v>
      </c>
      <c r="I477" s="1" t="s">
        <v>20</v>
      </c>
      <c r="J477" s="1">
        <v>40</v>
      </c>
      <c r="K477" s="1" t="s">
        <v>39</v>
      </c>
      <c r="L477" s="2">
        <v>46297</v>
      </c>
      <c r="M477" s="1">
        <v>8</v>
      </c>
      <c r="N477" s="1" t="s">
        <v>22</v>
      </c>
      <c r="O477" s="3" t="s">
        <v>57</v>
      </c>
    </row>
    <row r="478" spans="1:15" x14ac:dyDescent="0.3">
      <c r="A478" s="20">
        <v>46296.032812500001</v>
      </c>
      <c r="B478" s="21" t="s">
        <v>37</v>
      </c>
      <c r="C478" s="15">
        <v>28.656199999999998</v>
      </c>
      <c r="D478" s="1">
        <v>77.231499999999997</v>
      </c>
      <c r="E478" s="1" t="s">
        <v>55</v>
      </c>
      <c r="F478" s="1" t="s">
        <v>48</v>
      </c>
      <c r="G478" s="1" t="s">
        <v>45</v>
      </c>
      <c r="H478" s="1" t="s">
        <v>32</v>
      </c>
      <c r="I478" s="1" t="s">
        <v>20</v>
      </c>
      <c r="J478" s="1">
        <v>29</v>
      </c>
      <c r="K478" s="1" t="s">
        <v>21</v>
      </c>
      <c r="L478" s="2">
        <v>46297</v>
      </c>
      <c r="M478" s="1">
        <v>8</v>
      </c>
      <c r="N478" s="1" t="s">
        <v>22</v>
      </c>
      <c r="O478" s="3" t="s">
        <v>57</v>
      </c>
    </row>
    <row r="479" spans="1:15" x14ac:dyDescent="0.3">
      <c r="A479" s="22">
        <v>46296.032696759263</v>
      </c>
      <c r="B479" s="23" t="s">
        <v>37</v>
      </c>
      <c r="C479" s="15">
        <v>28.6328</v>
      </c>
      <c r="D479" s="1">
        <v>77.219499999999996</v>
      </c>
      <c r="E479" s="1" t="s">
        <v>16</v>
      </c>
      <c r="F479" s="1" t="s">
        <v>52</v>
      </c>
      <c r="G479" s="1" t="s">
        <v>45</v>
      </c>
      <c r="H479" s="1" t="s">
        <v>27</v>
      </c>
      <c r="I479" s="1" t="s">
        <v>36</v>
      </c>
      <c r="J479" s="1">
        <v>51</v>
      </c>
      <c r="K479" s="1" t="s">
        <v>21</v>
      </c>
      <c r="L479" s="2">
        <v>46297</v>
      </c>
      <c r="M479" s="1">
        <v>8</v>
      </c>
      <c r="N479" s="1" t="s">
        <v>22</v>
      </c>
      <c r="O479" s="3" t="s">
        <v>57</v>
      </c>
    </row>
    <row r="480" spans="1:15" x14ac:dyDescent="0.3">
      <c r="A480" s="20">
        <v>46296.032581018517</v>
      </c>
      <c r="B480" s="21" t="s">
        <v>37</v>
      </c>
      <c r="C480" s="15">
        <v>28.571400000000001</v>
      </c>
      <c r="D480" s="1">
        <v>77.281300000000002</v>
      </c>
      <c r="E480" s="1" t="s">
        <v>47</v>
      </c>
      <c r="F480" s="1" t="s">
        <v>17</v>
      </c>
      <c r="G480" s="1" t="s">
        <v>50</v>
      </c>
      <c r="H480" s="1" t="s">
        <v>61</v>
      </c>
      <c r="I480" s="1" t="s">
        <v>20</v>
      </c>
      <c r="J480" s="1">
        <v>40</v>
      </c>
      <c r="K480" s="1" t="s">
        <v>34</v>
      </c>
      <c r="L480" s="2">
        <v>46297</v>
      </c>
      <c r="M480" s="1">
        <v>7</v>
      </c>
      <c r="N480" s="1" t="s">
        <v>22</v>
      </c>
      <c r="O480" s="3" t="s">
        <v>57</v>
      </c>
    </row>
    <row r="481" spans="1:15" x14ac:dyDescent="0.3">
      <c r="A481" s="22">
        <v>46296.032465277778</v>
      </c>
      <c r="B481" s="23" t="s">
        <v>46</v>
      </c>
      <c r="C481" s="15">
        <v>28.571400000000001</v>
      </c>
      <c r="D481" s="1">
        <v>77.281300000000002</v>
      </c>
      <c r="E481" s="1" t="s">
        <v>47</v>
      </c>
      <c r="F481" s="1" t="s">
        <v>17</v>
      </c>
      <c r="G481" s="1" t="s">
        <v>45</v>
      </c>
      <c r="H481" s="1" t="s">
        <v>32</v>
      </c>
      <c r="I481" s="1" t="s">
        <v>20</v>
      </c>
      <c r="J481" s="1">
        <v>45</v>
      </c>
      <c r="K481" s="1" t="s">
        <v>34</v>
      </c>
      <c r="L481" s="2">
        <v>46297</v>
      </c>
      <c r="M481" s="1">
        <v>7</v>
      </c>
      <c r="N481" s="1" t="s">
        <v>22</v>
      </c>
      <c r="O481" s="3" t="s">
        <v>57</v>
      </c>
    </row>
    <row r="482" spans="1:15" x14ac:dyDescent="0.3">
      <c r="A482" s="20">
        <v>46296.032349537039</v>
      </c>
      <c r="B482" s="21" t="s">
        <v>37</v>
      </c>
      <c r="C482" s="15">
        <v>28.571400000000001</v>
      </c>
      <c r="D482" s="1">
        <v>77.281300000000002</v>
      </c>
      <c r="E482" s="1" t="s">
        <v>47</v>
      </c>
      <c r="F482" s="1" t="s">
        <v>52</v>
      </c>
      <c r="G482" s="1" t="s">
        <v>50</v>
      </c>
      <c r="H482" s="1" t="s">
        <v>32</v>
      </c>
      <c r="I482" s="1" t="s">
        <v>49</v>
      </c>
      <c r="J482" s="1">
        <v>50</v>
      </c>
      <c r="K482" s="1" t="s">
        <v>34</v>
      </c>
      <c r="L482" s="2">
        <v>46297</v>
      </c>
      <c r="M482" s="1">
        <v>5</v>
      </c>
      <c r="N482" s="1" t="s">
        <v>22</v>
      </c>
      <c r="O482" s="3" t="s">
        <v>23</v>
      </c>
    </row>
    <row r="483" spans="1:15" x14ac:dyDescent="0.3">
      <c r="A483" s="22">
        <v>46296.032233796293</v>
      </c>
      <c r="B483" s="23" t="s">
        <v>15</v>
      </c>
      <c r="C483" s="15">
        <v>28.6129</v>
      </c>
      <c r="D483" s="1">
        <v>77.229500000000002</v>
      </c>
      <c r="E483" s="1" t="s">
        <v>43</v>
      </c>
      <c r="F483" s="1" t="s">
        <v>17</v>
      </c>
      <c r="G483" s="1" t="s">
        <v>18</v>
      </c>
      <c r="H483" s="1" t="s">
        <v>27</v>
      </c>
      <c r="I483" s="1" t="s">
        <v>20</v>
      </c>
      <c r="J483" s="1">
        <v>61</v>
      </c>
      <c r="K483" s="1" t="s">
        <v>39</v>
      </c>
      <c r="L483" s="2">
        <v>46297</v>
      </c>
      <c r="M483" s="1">
        <v>3</v>
      </c>
      <c r="N483" s="1" t="s">
        <v>22</v>
      </c>
      <c r="O483" s="3" t="s">
        <v>23</v>
      </c>
    </row>
    <row r="484" spans="1:15" x14ac:dyDescent="0.3">
      <c r="A484" s="20">
        <v>46296.032118055555</v>
      </c>
      <c r="B484" s="21" t="s">
        <v>54</v>
      </c>
      <c r="C484" s="15">
        <v>28.545300000000001</v>
      </c>
      <c r="D484" s="1">
        <v>77.192499999999995</v>
      </c>
      <c r="E484" s="1" t="s">
        <v>41</v>
      </c>
      <c r="F484" s="1" t="s">
        <v>52</v>
      </c>
      <c r="G484" s="1" t="s">
        <v>45</v>
      </c>
      <c r="H484" s="1" t="s">
        <v>32</v>
      </c>
      <c r="I484" s="1" t="s">
        <v>36</v>
      </c>
      <c r="J484" s="1">
        <v>72</v>
      </c>
      <c r="K484" s="1" t="s">
        <v>39</v>
      </c>
      <c r="L484" s="2">
        <v>46296</v>
      </c>
      <c r="M484" s="1">
        <v>22</v>
      </c>
      <c r="N484" s="1" t="s">
        <v>59</v>
      </c>
      <c r="O484" s="3" t="s">
        <v>23</v>
      </c>
    </row>
    <row r="485" spans="1:15" x14ac:dyDescent="0.3">
      <c r="A485" s="22">
        <v>46296.032002314816</v>
      </c>
      <c r="B485" s="23" t="s">
        <v>37</v>
      </c>
      <c r="C485" s="15">
        <v>28.6328</v>
      </c>
      <c r="D485" s="1">
        <v>77.219499999999996</v>
      </c>
      <c r="E485" s="1" t="s">
        <v>16</v>
      </c>
      <c r="F485" s="1" t="s">
        <v>53</v>
      </c>
      <c r="G485" s="1" t="s">
        <v>18</v>
      </c>
      <c r="H485" s="1" t="s">
        <v>27</v>
      </c>
      <c r="I485" s="1" t="s">
        <v>56</v>
      </c>
      <c r="J485" s="1">
        <v>39</v>
      </c>
      <c r="K485" s="1" t="s">
        <v>39</v>
      </c>
      <c r="L485" s="2">
        <v>46296</v>
      </c>
      <c r="M485" s="1">
        <v>21</v>
      </c>
      <c r="N485" s="1" t="s">
        <v>59</v>
      </c>
      <c r="O485" s="3" t="s">
        <v>23</v>
      </c>
    </row>
    <row r="486" spans="1:15" x14ac:dyDescent="0.3">
      <c r="A486" s="20">
        <v>46296.031886574077</v>
      </c>
      <c r="B486" s="21" t="s">
        <v>40</v>
      </c>
      <c r="C486" s="15">
        <v>28.656199999999998</v>
      </c>
      <c r="D486" s="1">
        <v>77.231499999999997</v>
      </c>
      <c r="E486" s="1" t="s">
        <v>55</v>
      </c>
      <c r="F486" s="1" t="s">
        <v>53</v>
      </c>
      <c r="G486" s="1" t="s">
        <v>31</v>
      </c>
      <c r="H486" s="1" t="s">
        <v>32</v>
      </c>
      <c r="I486" s="1" t="s">
        <v>20</v>
      </c>
      <c r="J486" s="1">
        <v>67</v>
      </c>
      <c r="K486" s="1" t="s">
        <v>39</v>
      </c>
      <c r="L486" s="2">
        <v>46296</v>
      </c>
      <c r="M486" s="1">
        <v>21</v>
      </c>
      <c r="N486" s="1" t="s">
        <v>59</v>
      </c>
      <c r="O486" s="3" t="s">
        <v>23</v>
      </c>
    </row>
    <row r="487" spans="1:15" x14ac:dyDescent="0.3">
      <c r="A487" s="22">
        <v>46296.031770833331</v>
      </c>
      <c r="B487" s="23" t="s">
        <v>40</v>
      </c>
      <c r="C487" s="15">
        <v>28.6328</v>
      </c>
      <c r="D487" s="1">
        <v>77.219499999999996</v>
      </c>
      <c r="E487" s="1" t="s">
        <v>16</v>
      </c>
      <c r="F487" s="1" t="s">
        <v>26</v>
      </c>
      <c r="G487" s="1" t="s">
        <v>18</v>
      </c>
      <c r="H487" s="1" t="s">
        <v>32</v>
      </c>
      <c r="I487" s="1" t="s">
        <v>20</v>
      </c>
      <c r="J487" s="1">
        <v>74</v>
      </c>
      <c r="K487" s="1" t="s">
        <v>21</v>
      </c>
      <c r="L487" s="2">
        <v>46296</v>
      </c>
      <c r="M487" s="1">
        <v>19</v>
      </c>
      <c r="N487" s="1" t="s">
        <v>59</v>
      </c>
      <c r="O487" s="3" t="s">
        <v>28</v>
      </c>
    </row>
    <row r="488" spans="1:15" x14ac:dyDescent="0.3">
      <c r="A488" s="20">
        <v>46296.031655092593</v>
      </c>
      <c r="B488" s="21" t="s">
        <v>24</v>
      </c>
      <c r="C488" s="15">
        <v>28.6129</v>
      </c>
      <c r="D488" s="1">
        <v>77.229500000000002</v>
      </c>
      <c r="E488" s="1" t="s">
        <v>43</v>
      </c>
      <c r="F488" s="1" t="s">
        <v>26</v>
      </c>
      <c r="G488" s="1" t="s">
        <v>45</v>
      </c>
      <c r="H488" s="1" t="s">
        <v>19</v>
      </c>
      <c r="I488" s="1" t="s">
        <v>20</v>
      </c>
      <c r="J488" s="1">
        <v>21</v>
      </c>
      <c r="K488" s="1" t="s">
        <v>21</v>
      </c>
      <c r="L488" s="2">
        <v>46296</v>
      </c>
      <c r="M488" s="1">
        <v>18</v>
      </c>
      <c r="N488" s="1" t="s">
        <v>59</v>
      </c>
      <c r="O488" s="3" t="s">
        <v>28</v>
      </c>
    </row>
    <row r="489" spans="1:15" x14ac:dyDescent="0.3">
      <c r="A489" s="22">
        <v>46296.031539351854</v>
      </c>
      <c r="B489" s="23" t="s">
        <v>29</v>
      </c>
      <c r="C489" s="15">
        <v>28.567599999999999</v>
      </c>
      <c r="D489" s="1">
        <v>77.209599999999995</v>
      </c>
      <c r="E489" s="1" t="s">
        <v>25</v>
      </c>
      <c r="F489" s="1" t="s">
        <v>53</v>
      </c>
      <c r="G489" s="1" t="s">
        <v>18</v>
      </c>
      <c r="H489" s="1" t="s">
        <v>27</v>
      </c>
      <c r="I489" s="1" t="s">
        <v>33</v>
      </c>
      <c r="J489" s="1">
        <v>27</v>
      </c>
      <c r="K489" s="1" t="s">
        <v>34</v>
      </c>
      <c r="L489" s="2">
        <v>46296</v>
      </c>
      <c r="M489" s="1">
        <v>17</v>
      </c>
      <c r="N489" s="1" t="s">
        <v>59</v>
      </c>
      <c r="O489" s="3" t="s">
        <v>28</v>
      </c>
    </row>
    <row r="490" spans="1:15" x14ac:dyDescent="0.3">
      <c r="A490" s="20">
        <v>46296.031423611108</v>
      </c>
      <c r="B490" s="21" t="s">
        <v>29</v>
      </c>
      <c r="C490" s="15">
        <v>28.545300000000001</v>
      </c>
      <c r="D490" s="1">
        <v>77.192499999999995</v>
      </c>
      <c r="E490" s="1" t="s">
        <v>41</v>
      </c>
      <c r="F490" s="1" t="s">
        <v>17</v>
      </c>
      <c r="G490" s="1" t="s">
        <v>45</v>
      </c>
      <c r="H490" s="1" t="s">
        <v>32</v>
      </c>
      <c r="I490" s="1" t="s">
        <v>20</v>
      </c>
      <c r="J490" s="1">
        <v>25</v>
      </c>
      <c r="K490" s="1" t="s">
        <v>39</v>
      </c>
      <c r="L490" s="2">
        <v>46296</v>
      </c>
      <c r="M490" s="1">
        <v>17</v>
      </c>
      <c r="N490" s="1" t="s">
        <v>59</v>
      </c>
      <c r="O490" s="3" t="s">
        <v>28</v>
      </c>
    </row>
    <row r="491" spans="1:15" x14ac:dyDescent="0.3">
      <c r="A491" s="22">
        <v>46296.031307870369</v>
      </c>
      <c r="B491" s="23" t="s">
        <v>40</v>
      </c>
      <c r="C491" s="15">
        <v>28.656199999999998</v>
      </c>
      <c r="D491" s="1">
        <v>77.231499999999997</v>
      </c>
      <c r="E491" s="1" t="s">
        <v>55</v>
      </c>
      <c r="F491" s="1" t="s">
        <v>53</v>
      </c>
      <c r="G491" s="1" t="s">
        <v>18</v>
      </c>
      <c r="H491" s="1" t="s">
        <v>19</v>
      </c>
      <c r="I491" s="1" t="s">
        <v>33</v>
      </c>
      <c r="J491" s="1">
        <v>52</v>
      </c>
      <c r="K491" s="1" t="s">
        <v>21</v>
      </c>
      <c r="L491" s="2">
        <v>46296</v>
      </c>
      <c r="M491" s="1">
        <v>17</v>
      </c>
      <c r="N491" s="1" t="s">
        <v>59</v>
      </c>
      <c r="O491" s="3" t="s">
        <v>28</v>
      </c>
    </row>
    <row r="492" spans="1:15" x14ac:dyDescent="0.3">
      <c r="A492" s="20">
        <v>46296.031192129631</v>
      </c>
      <c r="B492" s="21" t="s">
        <v>46</v>
      </c>
      <c r="C492" s="15">
        <v>28.545300000000001</v>
      </c>
      <c r="D492" s="1">
        <v>77.192499999999995</v>
      </c>
      <c r="E492" s="1" t="s">
        <v>41</v>
      </c>
      <c r="F492" s="1" t="s">
        <v>30</v>
      </c>
      <c r="G492" s="1" t="s">
        <v>50</v>
      </c>
      <c r="H492" s="1" t="s">
        <v>32</v>
      </c>
      <c r="I492" s="1" t="s">
        <v>33</v>
      </c>
      <c r="J492" s="1">
        <v>58</v>
      </c>
      <c r="K492" s="1" t="s">
        <v>21</v>
      </c>
      <c r="L492" s="2">
        <v>46296</v>
      </c>
      <c r="M492" s="1">
        <v>13</v>
      </c>
      <c r="N492" s="1" t="s">
        <v>59</v>
      </c>
      <c r="O492" s="3" t="s">
        <v>51</v>
      </c>
    </row>
    <row r="493" spans="1:15" x14ac:dyDescent="0.3">
      <c r="A493" s="22">
        <v>46296.031076388892</v>
      </c>
      <c r="B493" s="23" t="s">
        <v>46</v>
      </c>
      <c r="C493" s="15">
        <v>28.6129</v>
      </c>
      <c r="D493" s="1">
        <v>77.229500000000002</v>
      </c>
      <c r="E493" s="1" t="s">
        <v>43</v>
      </c>
      <c r="F493" s="1" t="s">
        <v>17</v>
      </c>
      <c r="G493" s="1" t="s">
        <v>18</v>
      </c>
      <c r="H493" s="1" t="s">
        <v>32</v>
      </c>
      <c r="I493" s="1" t="s">
        <v>20</v>
      </c>
      <c r="J493" s="1">
        <v>21</v>
      </c>
      <c r="K493" s="1" t="s">
        <v>21</v>
      </c>
      <c r="L493" s="2">
        <v>46296</v>
      </c>
      <c r="M493" s="1">
        <v>13</v>
      </c>
      <c r="N493" s="1" t="s">
        <v>59</v>
      </c>
      <c r="O493" s="3" t="s">
        <v>51</v>
      </c>
    </row>
    <row r="494" spans="1:15" x14ac:dyDescent="0.3">
      <c r="A494" s="20">
        <v>46296.030960648146</v>
      </c>
      <c r="B494" s="21" t="s">
        <v>24</v>
      </c>
      <c r="C494" s="15">
        <v>28.6129</v>
      </c>
      <c r="D494" s="1">
        <v>77.229500000000002</v>
      </c>
      <c r="E494" s="1" t="s">
        <v>43</v>
      </c>
      <c r="F494" s="1" t="s">
        <v>17</v>
      </c>
      <c r="G494" s="1" t="s">
        <v>18</v>
      </c>
      <c r="H494" s="1" t="s">
        <v>32</v>
      </c>
      <c r="I494" s="1" t="s">
        <v>20</v>
      </c>
      <c r="J494" s="1">
        <v>55</v>
      </c>
      <c r="K494" s="1" t="s">
        <v>39</v>
      </c>
      <c r="L494" s="2">
        <v>46296</v>
      </c>
      <c r="M494" s="1">
        <v>11</v>
      </c>
      <c r="N494" s="1" t="s">
        <v>59</v>
      </c>
      <c r="O494" s="3" t="s">
        <v>57</v>
      </c>
    </row>
    <row r="495" spans="1:15" x14ac:dyDescent="0.3">
      <c r="A495" s="22">
        <v>46296.030844907407</v>
      </c>
      <c r="B495" s="23" t="s">
        <v>40</v>
      </c>
      <c r="C495" s="15">
        <v>28.545300000000001</v>
      </c>
      <c r="D495" s="1">
        <v>77.192499999999995</v>
      </c>
      <c r="E495" s="1" t="s">
        <v>41</v>
      </c>
      <c r="F495" s="1" t="s">
        <v>26</v>
      </c>
      <c r="G495" s="1" t="s">
        <v>18</v>
      </c>
      <c r="H495" s="1" t="s">
        <v>61</v>
      </c>
      <c r="I495" s="1" t="s">
        <v>20</v>
      </c>
      <c r="J495" s="1">
        <v>50</v>
      </c>
      <c r="K495" s="1" t="s">
        <v>39</v>
      </c>
      <c r="L495" s="2">
        <v>46296</v>
      </c>
      <c r="M495" s="1">
        <v>10</v>
      </c>
      <c r="N495" s="1" t="s">
        <v>59</v>
      </c>
      <c r="O495" s="3" t="s">
        <v>57</v>
      </c>
    </row>
    <row r="496" spans="1:15" x14ac:dyDescent="0.3">
      <c r="A496" s="20">
        <v>46296.030729166669</v>
      </c>
      <c r="B496" s="21" t="s">
        <v>46</v>
      </c>
      <c r="C496" s="15">
        <v>28.656199999999998</v>
      </c>
      <c r="D496" s="1">
        <v>77.231499999999997</v>
      </c>
      <c r="E496" s="1" t="s">
        <v>55</v>
      </c>
      <c r="F496" s="1" t="s">
        <v>17</v>
      </c>
      <c r="G496" s="1" t="s">
        <v>18</v>
      </c>
      <c r="H496" s="1" t="s">
        <v>32</v>
      </c>
      <c r="I496" s="1" t="s">
        <v>20</v>
      </c>
      <c r="J496" s="1">
        <v>57</v>
      </c>
      <c r="K496" s="1" t="s">
        <v>34</v>
      </c>
      <c r="L496" s="2">
        <v>46296</v>
      </c>
      <c r="M496" s="1">
        <v>8</v>
      </c>
      <c r="N496" s="1" t="s">
        <v>59</v>
      </c>
      <c r="O496" s="3" t="s">
        <v>57</v>
      </c>
    </row>
    <row r="497" spans="1:15" x14ac:dyDescent="0.3">
      <c r="A497" s="22">
        <v>46296.030613425923</v>
      </c>
      <c r="B497" s="23" t="s">
        <v>54</v>
      </c>
      <c r="C497" s="15">
        <v>28.632999999999999</v>
      </c>
      <c r="D497" s="1">
        <v>77.2196</v>
      </c>
      <c r="E497" s="1" t="s">
        <v>16</v>
      </c>
      <c r="F497" s="1" t="s">
        <v>26</v>
      </c>
      <c r="G497" s="1" t="s">
        <v>18</v>
      </c>
      <c r="H497" s="1" t="s">
        <v>19</v>
      </c>
      <c r="I497" s="1" t="s">
        <v>20</v>
      </c>
      <c r="J497" s="1">
        <v>27</v>
      </c>
      <c r="K497" s="1" t="s">
        <v>34</v>
      </c>
      <c r="L497" s="2">
        <v>46296</v>
      </c>
      <c r="M497" s="1">
        <v>6</v>
      </c>
      <c r="N497" s="1" t="s">
        <v>59</v>
      </c>
      <c r="O497" s="3" t="s">
        <v>57</v>
      </c>
    </row>
    <row r="498" spans="1:15" x14ac:dyDescent="0.3">
      <c r="A498" s="20">
        <v>46296.030497685184</v>
      </c>
      <c r="B498" s="21" t="s">
        <v>37</v>
      </c>
      <c r="C498" s="15">
        <v>28.567599999999999</v>
      </c>
      <c r="D498" s="1">
        <v>77.209599999999995</v>
      </c>
      <c r="E498" s="1" t="s">
        <v>25</v>
      </c>
      <c r="F498" s="1" t="s">
        <v>30</v>
      </c>
      <c r="G498" s="1" t="s">
        <v>18</v>
      </c>
      <c r="H498" s="1" t="s">
        <v>32</v>
      </c>
      <c r="I498" s="1" t="s">
        <v>20</v>
      </c>
      <c r="J498" s="1">
        <v>39</v>
      </c>
      <c r="K498" s="1" t="s">
        <v>34</v>
      </c>
      <c r="L498" s="2">
        <v>46296</v>
      </c>
      <c r="M498" s="1">
        <v>6</v>
      </c>
      <c r="N498" s="1" t="s">
        <v>59</v>
      </c>
      <c r="O498" s="3" t="s">
        <v>57</v>
      </c>
    </row>
    <row r="499" spans="1:15" x14ac:dyDescent="0.3">
      <c r="A499" s="22">
        <v>46296.030381944445</v>
      </c>
      <c r="B499" s="23" t="s">
        <v>15</v>
      </c>
      <c r="C499" s="15">
        <v>28.567599999999999</v>
      </c>
      <c r="D499" s="1">
        <v>77.209599999999995</v>
      </c>
      <c r="E499" s="1" t="s">
        <v>25</v>
      </c>
      <c r="F499" s="1" t="s">
        <v>35</v>
      </c>
      <c r="G499" s="1" t="s">
        <v>45</v>
      </c>
      <c r="H499" s="1" t="s">
        <v>27</v>
      </c>
      <c r="I499" s="1" t="s">
        <v>36</v>
      </c>
      <c r="J499" s="1">
        <v>48</v>
      </c>
      <c r="K499" s="1" t="s">
        <v>39</v>
      </c>
      <c r="L499" s="2">
        <v>46296</v>
      </c>
      <c r="M499" s="1">
        <v>5</v>
      </c>
      <c r="N499" s="1" t="s">
        <v>59</v>
      </c>
      <c r="O499" s="3" t="s">
        <v>23</v>
      </c>
    </row>
    <row r="500" spans="1:15" x14ac:dyDescent="0.3">
      <c r="A500" s="20">
        <v>46296.030266203707</v>
      </c>
      <c r="B500" s="21" t="s">
        <v>54</v>
      </c>
      <c r="C500" s="15">
        <v>28.6328</v>
      </c>
      <c r="D500" s="1">
        <v>77.219499999999996</v>
      </c>
      <c r="E500" s="1" t="s">
        <v>16</v>
      </c>
      <c r="F500" s="1" t="s">
        <v>26</v>
      </c>
      <c r="G500" s="1" t="s">
        <v>45</v>
      </c>
      <c r="H500" s="1" t="s">
        <v>27</v>
      </c>
      <c r="I500" s="1" t="s">
        <v>20</v>
      </c>
      <c r="J500" s="1">
        <v>52</v>
      </c>
      <c r="K500" s="1" t="s">
        <v>21</v>
      </c>
      <c r="L500" s="2">
        <v>46296</v>
      </c>
      <c r="M500" s="1">
        <v>3</v>
      </c>
      <c r="N500" s="1" t="s">
        <v>59</v>
      </c>
      <c r="O500" s="3" t="s">
        <v>23</v>
      </c>
    </row>
    <row r="501" spans="1:15" x14ac:dyDescent="0.3">
      <c r="A501" s="22">
        <v>46296.030150462961</v>
      </c>
      <c r="B501" s="23" t="s">
        <v>54</v>
      </c>
      <c r="C501" s="14">
        <v>28.656199999999998</v>
      </c>
      <c r="D501" s="6">
        <v>77.231499999999997</v>
      </c>
      <c r="E501" s="6" t="s">
        <v>55</v>
      </c>
      <c r="F501" s="6" t="s">
        <v>58</v>
      </c>
      <c r="G501" s="6" t="s">
        <v>18</v>
      </c>
      <c r="H501" s="6" t="s">
        <v>32</v>
      </c>
      <c r="I501" s="6" t="s">
        <v>20</v>
      </c>
      <c r="J501" s="6">
        <v>29</v>
      </c>
      <c r="K501" s="6" t="s">
        <v>39</v>
      </c>
      <c r="L501" s="7">
        <v>46296</v>
      </c>
      <c r="M501" s="6">
        <v>3</v>
      </c>
      <c r="N501" s="6" t="s">
        <v>59</v>
      </c>
      <c r="O501" s="8" t="s">
        <v>23</v>
      </c>
    </row>
    <row r="504" spans="1:15" x14ac:dyDescent="0.3">
      <c r="J504">
        <f>AVERAGE(CrimeTable[Victim_Age])</f>
        <v>47.41</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Pivot table</vt:lpstr>
      <vt:lpstr>Crime_Dashboard</vt:lpstr>
      <vt:lpstr>Crime_Data</vt:lpstr>
      <vt:lpstr>full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Prateek sharma</cp:lastModifiedBy>
  <dcterms:created xsi:type="dcterms:W3CDTF">2026-10-01T14:54:02Z</dcterms:created>
  <dcterms:modified xsi:type="dcterms:W3CDTF">2026-10-08T14:45:01Z</dcterms:modified>
</cp:coreProperties>
</file>